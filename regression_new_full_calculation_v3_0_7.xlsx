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ma\Downloads\"/>
    </mc:Choice>
  </mc:AlternateContent>
  <xr:revisionPtr revIDLastSave="0" documentId="13_ncr:1_{0003F948-7AAF-4F2E-A273-E23D30A947D3}" xr6:coauthVersionLast="47" xr6:coauthVersionMax="47" xr10:uidLastSave="{00000000-0000-0000-0000-000000000000}"/>
  <bookViews>
    <workbookView xWindow="-120" yWindow="-120" windowWidth="20730" windowHeight="11040" firstSheet="14" activeTab="18" xr2:uid="{00000000-000D-0000-FFFF-FFFF00000000}"/>
  </bookViews>
  <sheets>
    <sheet name="README" sheetId="1" r:id="rId1"/>
    <sheet name="data_preprocessed" sheetId="2" r:id="rId2"/>
    <sheet name="A1_R0" sheetId="3" r:id="rId3"/>
    <sheet name="A1_R1" sheetId="4" r:id="rId4"/>
    <sheet name="A1_R2" sheetId="5" r:id="rId5"/>
    <sheet name="A1_R3" sheetId="6" r:id="rId6"/>
    <sheet name="A1_R4" sheetId="7" r:id="rId7"/>
    <sheet name="A1_R5" sheetId="8" r:id="rId8"/>
    <sheet name="A2_R0" sheetId="9" r:id="rId9"/>
    <sheet name="A2_R1" sheetId="10" r:id="rId10"/>
    <sheet name="A2_R2" sheetId="11" r:id="rId11"/>
    <sheet name="A2_R3" sheetId="12" r:id="rId12"/>
    <sheet name="A2_R4" sheetId="13" r:id="rId13"/>
    <sheet name="A2_R5" sheetId="14" r:id="rId14"/>
    <sheet name="A3_R0" sheetId="15" r:id="rId15"/>
    <sheet name="A3_R1" sheetId="16" r:id="rId16"/>
    <sheet name="A3_R2" sheetId="17" r:id="rId17"/>
    <sheet name="A3_R3" sheetId="18" r:id="rId18"/>
    <sheet name="A3_R4" sheetId="19" r:id="rId19"/>
    <sheet name="A3_R5" sheetId="20" r:id="rId20"/>
    <sheet name="coefficients_new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0" l="1"/>
  <c r="B77" i="19"/>
  <c r="F76" i="19"/>
  <c r="C76" i="19"/>
  <c r="B76" i="19"/>
  <c r="C65" i="19"/>
  <c r="B65" i="19"/>
  <c r="G64" i="19"/>
  <c r="F64" i="19"/>
  <c r="E64" i="19"/>
  <c r="D64" i="19"/>
  <c r="H64" i="19" s="1"/>
  <c r="H63" i="19"/>
  <c r="G63" i="19"/>
  <c r="F63" i="19"/>
  <c r="E63" i="19"/>
  <c r="D63" i="19"/>
  <c r="H62" i="19"/>
  <c r="G62" i="19"/>
  <c r="F62" i="19"/>
  <c r="E62" i="19"/>
  <c r="D62" i="19"/>
  <c r="G61" i="19"/>
  <c r="F61" i="19"/>
  <c r="E61" i="19"/>
  <c r="D61" i="19"/>
  <c r="H61" i="19" s="1"/>
  <c r="H60" i="19"/>
  <c r="G60" i="19"/>
  <c r="F60" i="19"/>
  <c r="E60" i="19"/>
  <c r="D60" i="19"/>
  <c r="G59" i="19"/>
  <c r="F59" i="19"/>
  <c r="E59" i="19"/>
  <c r="D59" i="19"/>
  <c r="H59" i="19" s="1"/>
  <c r="G58" i="19"/>
  <c r="F58" i="19"/>
  <c r="E58" i="19"/>
  <c r="D58" i="19"/>
  <c r="H58" i="19" s="1"/>
  <c r="H57" i="19"/>
  <c r="G57" i="19"/>
  <c r="F57" i="19"/>
  <c r="E57" i="19"/>
  <c r="D57" i="19"/>
  <c r="G56" i="19"/>
  <c r="F56" i="19"/>
  <c r="E56" i="19"/>
  <c r="D56" i="19"/>
  <c r="H56" i="19" s="1"/>
  <c r="H55" i="19"/>
  <c r="G55" i="19"/>
  <c r="F55" i="19"/>
  <c r="E55" i="19"/>
  <c r="D55" i="19"/>
  <c r="H54" i="19"/>
  <c r="G54" i="19"/>
  <c r="F54" i="19"/>
  <c r="E54" i="19"/>
  <c r="D54" i="19"/>
  <c r="G53" i="19"/>
  <c r="F53" i="19"/>
  <c r="E53" i="19"/>
  <c r="D53" i="19"/>
  <c r="H53" i="19" s="1"/>
  <c r="H52" i="19"/>
  <c r="G52" i="19"/>
  <c r="F52" i="19"/>
  <c r="E52" i="19"/>
  <c r="D52" i="19"/>
  <c r="H51" i="19"/>
  <c r="G51" i="19"/>
  <c r="F51" i="19"/>
  <c r="E51" i="19"/>
  <c r="D51" i="19"/>
  <c r="G50" i="19"/>
  <c r="F50" i="19"/>
  <c r="E50" i="19"/>
  <c r="D50" i="19"/>
  <c r="H50" i="19" s="1"/>
  <c r="H49" i="19"/>
  <c r="G49" i="19"/>
  <c r="F49" i="19"/>
  <c r="E49" i="19"/>
  <c r="D49" i="19"/>
  <c r="G48" i="19"/>
  <c r="F48" i="19"/>
  <c r="E48" i="19"/>
  <c r="D48" i="19"/>
  <c r="H48" i="19" s="1"/>
  <c r="G47" i="19"/>
  <c r="F47" i="19"/>
  <c r="E47" i="19"/>
  <c r="D47" i="19"/>
  <c r="H47" i="19" s="1"/>
  <c r="H46" i="19"/>
  <c r="G46" i="19"/>
  <c r="F46" i="19"/>
  <c r="E46" i="19"/>
  <c r="D46" i="19"/>
  <c r="G45" i="19"/>
  <c r="F45" i="19"/>
  <c r="E45" i="19"/>
  <c r="D45" i="19"/>
  <c r="H45" i="19" s="1"/>
  <c r="H44" i="19"/>
  <c r="G44" i="19"/>
  <c r="F44" i="19"/>
  <c r="E44" i="19"/>
  <c r="D44" i="19"/>
  <c r="H43" i="19"/>
  <c r="G43" i="19"/>
  <c r="F43" i="19"/>
  <c r="E43" i="19"/>
  <c r="D43" i="19"/>
  <c r="G42" i="19"/>
  <c r="F42" i="19"/>
  <c r="E42" i="19"/>
  <c r="D42" i="19"/>
  <c r="H42" i="19" s="1"/>
  <c r="H41" i="19"/>
  <c r="G41" i="19"/>
  <c r="F41" i="19"/>
  <c r="E41" i="19"/>
  <c r="D41" i="19"/>
  <c r="G40" i="19"/>
  <c r="F40" i="19"/>
  <c r="E40" i="19"/>
  <c r="D40" i="19"/>
  <c r="H40" i="19" s="1"/>
  <c r="H39" i="19"/>
  <c r="G39" i="19"/>
  <c r="F39" i="19"/>
  <c r="E39" i="19"/>
  <c r="D39" i="19"/>
  <c r="H38" i="19"/>
  <c r="G38" i="19"/>
  <c r="F38" i="19"/>
  <c r="E38" i="19"/>
  <c r="D38" i="19"/>
  <c r="G37" i="19"/>
  <c r="F37" i="19"/>
  <c r="E37" i="19"/>
  <c r="D37" i="19"/>
  <c r="H37" i="19" s="1"/>
  <c r="H36" i="19"/>
  <c r="G36" i="19"/>
  <c r="F36" i="19"/>
  <c r="E36" i="19"/>
  <c r="D36" i="19"/>
  <c r="G35" i="19"/>
  <c r="F35" i="19"/>
  <c r="E35" i="19"/>
  <c r="D35" i="19"/>
  <c r="H35" i="19" s="1"/>
  <c r="G34" i="19"/>
  <c r="F34" i="19"/>
  <c r="E34" i="19"/>
  <c r="D34" i="19"/>
  <c r="H34" i="19" s="1"/>
  <c r="H33" i="19"/>
  <c r="G33" i="19"/>
  <c r="F33" i="19"/>
  <c r="E33" i="19"/>
  <c r="D33" i="19"/>
  <c r="G32" i="19"/>
  <c r="F32" i="19"/>
  <c r="E32" i="19"/>
  <c r="D32" i="19"/>
  <c r="H32" i="19" s="1"/>
  <c r="G31" i="19"/>
  <c r="F31" i="19"/>
  <c r="E31" i="19"/>
  <c r="D31" i="19"/>
  <c r="H31" i="19" s="1"/>
  <c r="H30" i="19"/>
  <c r="G30" i="19"/>
  <c r="F30" i="19"/>
  <c r="E30" i="19"/>
  <c r="D30" i="19"/>
  <c r="G29" i="19"/>
  <c r="F29" i="19"/>
  <c r="E29" i="19"/>
  <c r="D29" i="19"/>
  <c r="H29" i="19" s="1"/>
  <c r="H28" i="19"/>
  <c r="G28" i="19"/>
  <c r="F28" i="19"/>
  <c r="E28" i="19"/>
  <c r="D28" i="19"/>
  <c r="H27" i="19"/>
  <c r="G27" i="19"/>
  <c r="F27" i="19"/>
  <c r="E27" i="19"/>
  <c r="D27" i="19"/>
  <c r="G26" i="19"/>
  <c r="F26" i="19"/>
  <c r="E26" i="19"/>
  <c r="D26" i="19"/>
  <c r="H26" i="19" s="1"/>
  <c r="H25" i="19"/>
  <c r="G25" i="19"/>
  <c r="F25" i="19"/>
  <c r="E25" i="19"/>
  <c r="D25" i="19"/>
  <c r="G24" i="19"/>
  <c r="F24" i="19"/>
  <c r="E24" i="19"/>
  <c r="D24" i="19"/>
  <c r="H24" i="19" s="1"/>
  <c r="G23" i="19"/>
  <c r="F23" i="19"/>
  <c r="E23" i="19"/>
  <c r="D23" i="19"/>
  <c r="H23" i="19" s="1"/>
  <c r="H22" i="19"/>
  <c r="G22" i="19"/>
  <c r="F22" i="19"/>
  <c r="E22" i="19"/>
  <c r="D22" i="19"/>
  <c r="G21" i="19"/>
  <c r="F21" i="19"/>
  <c r="E21" i="19"/>
  <c r="D21" i="19"/>
  <c r="H21" i="19" s="1"/>
  <c r="H20" i="19"/>
  <c r="G20" i="19"/>
  <c r="F20" i="19"/>
  <c r="E20" i="19"/>
  <c r="D20" i="19"/>
  <c r="G19" i="19"/>
  <c r="F19" i="19"/>
  <c r="E19" i="19"/>
  <c r="D19" i="19"/>
  <c r="H19" i="19" s="1"/>
  <c r="G18" i="19"/>
  <c r="F18" i="19"/>
  <c r="E18" i="19"/>
  <c r="D18" i="19"/>
  <c r="H18" i="19" s="1"/>
  <c r="H17" i="19"/>
  <c r="G17" i="19"/>
  <c r="F17" i="19"/>
  <c r="E17" i="19"/>
  <c r="D17" i="19"/>
  <c r="G16" i="19"/>
  <c r="F16" i="19"/>
  <c r="E16" i="19"/>
  <c r="D16" i="19"/>
  <c r="H16" i="19" s="1"/>
  <c r="H15" i="19"/>
  <c r="G15" i="19"/>
  <c r="F15" i="19"/>
  <c r="E15" i="19"/>
  <c r="D15" i="19"/>
  <c r="H14" i="19"/>
  <c r="G14" i="19"/>
  <c r="F14" i="19"/>
  <c r="E14" i="19"/>
  <c r="D14" i="19"/>
  <c r="G13" i="19"/>
  <c r="F13" i="19"/>
  <c r="E13" i="19"/>
  <c r="D13" i="19"/>
  <c r="H13" i="19" s="1"/>
  <c r="H12" i="19"/>
  <c r="G12" i="19"/>
  <c r="F12" i="19"/>
  <c r="E12" i="19"/>
  <c r="D12" i="19"/>
  <c r="G11" i="19"/>
  <c r="F11" i="19"/>
  <c r="E11" i="19"/>
  <c r="D11" i="19"/>
  <c r="H11" i="19" s="1"/>
  <c r="G10" i="19"/>
  <c r="F10" i="19"/>
  <c r="E10" i="19"/>
  <c r="D10" i="19"/>
  <c r="H10" i="19" s="1"/>
  <c r="H9" i="19"/>
  <c r="G9" i="19"/>
  <c r="F9" i="19"/>
  <c r="E9" i="19"/>
  <c r="D9" i="19"/>
  <c r="G8" i="19"/>
  <c r="F8" i="19"/>
  <c r="E8" i="19"/>
  <c r="D8" i="19"/>
  <c r="H8" i="19" s="1"/>
  <c r="G7" i="19"/>
  <c r="F7" i="19"/>
  <c r="E7" i="19"/>
  <c r="D7" i="19"/>
  <c r="H7" i="19" s="1"/>
  <c r="H6" i="19"/>
  <c r="G6" i="19"/>
  <c r="F6" i="19"/>
  <c r="E6" i="19"/>
  <c r="D6" i="19"/>
  <c r="G5" i="19"/>
  <c r="F5" i="19"/>
  <c r="F65" i="19" s="1"/>
  <c r="D78" i="19" s="1"/>
  <c r="E5" i="19"/>
  <c r="E65" i="19" s="1"/>
  <c r="D5" i="19"/>
  <c r="B56" i="18"/>
  <c r="C45" i="18"/>
  <c r="F56" i="18" s="1"/>
  <c r="B45" i="18"/>
  <c r="B57" i="18" s="1"/>
  <c r="H44" i="18"/>
  <c r="G44" i="18"/>
  <c r="F44" i="18"/>
  <c r="E44" i="18"/>
  <c r="D44" i="18"/>
  <c r="H43" i="18"/>
  <c r="G43" i="18"/>
  <c r="F43" i="18"/>
  <c r="E43" i="18"/>
  <c r="D43" i="18"/>
  <c r="G42" i="18"/>
  <c r="F42" i="18"/>
  <c r="E42" i="18"/>
  <c r="D42" i="18"/>
  <c r="H42" i="18" s="1"/>
  <c r="H41" i="18"/>
  <c r="G41" i="18"/>
  <c r="F41" i="18"/>
  <c r="E41" i="18"/>
  <c r="D41" i="18"/>
  <c r="G40" i="18"/>
  <c r="F40" i="18"/>
  <c r="E40" i="18"/>
  <c r="D40" i="18"/>
  <c r="H40" i="18" s="1"/>
  <c r="H39" i="18"/>
  <c r="G39" i="18"/>
  <c r="F39" i="18"/>
  <c r="E39" i="18"/>
  <c r="D39" i="18"/>
  <c r="H38" i="18"/>
  <c r="G38" i="18"/>
  <c r="F38" i="18"/>
  <c r="E38" i="18"/>
  <c r="D38" i="18"/>
  <c r="G37" i="18"/>
  <c r="F37" i="18"/>
  <c r="E37" i="18"/>
  <c r="D37" i="18"/>
  <c r="H37" i="18" s="1"/>
  <c r="H36" i="18"/>
  <c r="G36" i="18"/>
  <c r="F36" i="18"/>
  <c r="E36" i="18"/>
  <c r="D36" i="18"/>
  <c r="G35" i="18"/>
  <c r="F35" i="18"/>
  <c r="E35" i="18"/>
  <c r="D35" i="18"/>
  <c r="H35" i="18" s="1"/>
  <c r="G34" i="18"/>
  <c r="F34" i="18"/>
  <c r="E34" i="18"/>
  <c r="D34" i="18"/>
  <c r="H34" i="18" s="1"/>
  <c r="H33" i="18"/>
  <c r="G33" i="18"/>
  <c r="F33" i="18"/>
  <c r="E33" i="18"/>
  <c r="D33" i="18"/>
  <c r="G32" i="18"/>
  <c r="F32" i="18"/>
  <c r="E32" i="18"/>
  <c r="D32" i="18"/>
  <c r="H32" i="18" s="1"/>
  <c r="H31" i="18"/>
  <c r="G31" i="18"/>
  <c r="F31" i="18"/>
  <c r="E31" i="18"/>
  <c r="D31" i="18"/>
  <c r="H30" i="18"/>
  <c r="G30" i="18"/>
  <c r="F30" i="18"/>
  <c r="E30" i="18"/>
  <c r="D30" i="18"/>
  <c r="G29" i="18"/>
  <c r="F29" i="18"/>
  <c r="E29" i="18"/>
  <c r="D29" i="18"/>
  <c r="H29" i="18" s="1"/>
  <c r="G28" i="18"/>
  <c r="F28" i="18"/>
  <c r="E28" i="18"/>
  <c r="D28" i="18"/>
  <c r="H28" i="18" s="1"/>
  <c r="G27" i="18"/>
  <c r="F27" i="18"/>
  <c r="E27" i="18"/>
  <c r="D27" i="18"/>
  <c r="H27" i="18" s="1"/>
  <c r="G26" i="18"/>
  <c r="F26" i="18"/>
  <c r="E26" i="18"/>
  <c r="D26" i="18"/>
  <c r="H26" i="18" s="1"/>
  <c r="H25" i="18"/>
  <c r="G25" i="18"/>
  <c r="F25" i="18"/>
  <c r="E25" i="18"/>
  <c r="D25" i="18"/>
  <c r="H24" i="18"/>
  <c r="G24" i="18"/>
  <c r="F24" i="18"/>
  <c r="E24" i="18"/>
  <c r="D24" i="18"/>
  <c r="G23" i="18"/>
  <c r="F23" i="18"/>
  <c r="E23" i="18"/>
  <c r="D23" i="18"/>
  <c r="H23" i="18" s="1"/>
  <c r="H22" i="18"/>
  <c r="G22" i="18"/>
  <c r="F22" i="18"/>
  <c r="E22" i="18"/>
  <c r="D22" i="18"/>
  <c r="G21" i="18"/>
  <c r="F21" i="18"/>
  <c r="E21" i="18"/>
  <c r="D21" i="18"/>
  <c r="H21" i="18" s="1"/>
  <c r="H20" i="18"/>
  <c r="G20" i="18"/>
  <c r="F20" i="18"/>
  <c r="E20" i="18"/>
  <c r="D20" i="18"/>
  <c r="H19" i="18"/>
  <c r="G19" i="18"/>
  <c r="F19" i="18"/>
  <c r="E19" i="18"/>
  <c r="D19" i="18"/>
  <c r="G18" i="18"/>
  <c r="F18" i="18"/>
  <c r="E18" i="18"/>
  <c r="D18" i="18"/>
  <c r="H18" i="18" s="1"/>
  <c r="H17" i="18"/>
  <c r="G17" i="18"/>
  <c r="F17" i="18"/>
  <c r="E17" i="18"/>
  <c r="D17" i="18"/>
  <c r="H16" i="18"/>
  <c r="G16" i="18"/>
  <c r="F16" i="18"/>
  <c r="E16" i="18"/>
  <c r="D16" i="18"/>
  <c r="H15" i="18"/>
  <c r="G15" i="18"/>
  <c r="F15" i="18"/>
  <c r="E15" i="18"/>
  <c r="D15" i="18"/>
  <c r="H14" i="18"/>
  <c r="G14" i="18"/>
  <c r="F14" i="18"/>
  <c r="E14" i="18"/>
  <c r="D14" i="18"/>
  <c r="G13" i="18"/>
  <c r="F13" i="18"/>
  <c r="E13" i="18"/>
  <c r="D13" i="18"/>
  <c r="H13" i="18" s="1"/>
  <c r="H12" i="18"/>
  <c r="G12" i="18"/>
  <c r="F12" i="18"/>
  <c r="E12" i="18"/>
  <c r="D12" i="18"/>
  <c r="H11" i="18"/>
  <c r="G11" i="18"/>
  <c r="F11" i="18"/>
  <c r="E11" i="18"/>
  <c r="D11" i="18"/>
  <c r="G10" i="18"/>
  <c r="F10" i="18"/>
  <c r="E10" i="18"/>
  <c r="D10" i="18"/>
  <c r="H10" i="18" s="1"/>
  <c r="H9" i="18"/>
  <c r="G9" i="18"/>
  <c r="F9" i="18"/>
  <c r="E9" i="18"/>
  <c r="D9" i="18"/>
  <c r="G8" i="18"/>
  <c r="F8" i="18"/>
  <c r="E8" i="18"/>
  <c r="D8" i="18"/>
  <c r="H8" i="18" s="1"/>
  <c r="H7" i="18"/>
  <c r="G7" i="18"/>
  <c r="F7" i="18"/>
  <c r="E7" i="18"/>
  <c r="D7" i="18"/>
  <c r="H6" i="18"/>
  <c r="G6" i="18"/>
  <c r="F6" i="18"/>
  <c r="E6" i="18"/>
  <c r="D6" i="18"/>
  <c r="G5" i="18"/>
  <c r="F5" i="18"/>
  <c r="E5" i="18"/>
  <c r="D5" i="18"/>
  <c r="H5" i="18" s="1"/>
  <c r="C100" i="17"/>
  <c r="B100" i="17"/>
  <c r="C89" i="17"/>
  <c r="B89" i="17"/>
  <c r="B101" i="17" s="1"/>
  <c r="H88" i="17"/>
  <c r="G88" i="17"/>
  <c r="F88" i="17"/>
  <c r="E88" i="17"/>
  <c r="D88" i="17"/>
  <c r="H87" i="17"/>
  <c r="G87" i="17"/>
  <c r="F87" i="17"/>
  <c r="E87" i="17"/>
  <c r="D87" i="17"/>
  <c r="G86" i="17"/>
  <c r="F86" i="17"/>
  <c r="E86" i="17"/>
  <c r="D86" i="17"/>
  <c r="H86" i="17" s="1"/>
  <c r="H85" i="17"/>
  <c r="G85" i="17"/>
  <c r="F85" i="17"/>
  <c r="E85" i="17"/>
  <c r="D85" i="17"/>
  <c r="G84" i="17"/>
  <c r="F84" i="17"/>
  <c r="E84" i="17"/>
  <c r="D84" i="17"/>
  <c r="H84" i="17" s="1"/>
  <c r="H83" i="17"/>
  <c r="G83" i="17"/>
  <c r="F83" i="17"/>
  <c r="E83" i="17"/>
  <c r="D83" i="17"/>
  <c r="H82" i="17"/>
  <c r="G82" i="17"/>
  <c r="F82" i="17"/>
  <c r="E82" i="17"/>
  <c r="D82" i="17"/>
  <c r="G81" i="17"/>
  <c r="F81" i="17"/>
  <c r="E81" i="17"/>
  <c r="D81" i="17"/>
  <c r="H81" i="17" s="1"/>
  <c r="G80" i="17"/>
  <c r="F80" i="17"/>
  <c r="E80" i="17"/>
  <c r="D80" i="17"/>
  <c r="H80" i="17" s="1"/>
  <c r="G79" i="17"/>
  <c r="F79" i="17"/>
  <c r="E79" i="17"/>
  <c r="D79" i="17"/>
  <c r="H79" i="17" s="1"/>
  <c r="G78" i="17"/>
  <c r="F78" i="17"/>
  <c r="E78" i="17"/>
  <c r="D78" i="17"/>
  <c r="H78" i="17" s="1"/>
  <c r="H77" i="17"/>
  <c r="G77" i="17"/>
  <c r="F77" i="17"/>
  <c r="E77" i="17"/>
  <c r="D77" i="17"/>
  <c r="G76" i="17"/>
  <c r="F76" i="17"/>
  <c r="E76" i="17"/>
  <c r="D76" i="17"/>
  <c r="H76" i="17" s="1"/>
  <c r="H75" i="17"/>
  <c r="G75" i="17"/>
  <c r="F75" i="17"/>
  <c r="E75" i="17"/>
  <c r="D75" i="17"/>
  <c r="H74" i="17"/>
  <c r="G74" i="17"/>
  <c r="F74" i="17"/>
  <c r="E74" i="17"/>
  <c r="D74" i="17"/>
  <c r="G73" i="17"/>
  <c r="F73" i="17"/>
  <c r="E73" i="17"/>
  <c r="D73" i="17"/>
  <c r="H73" i="17" s="1"/>
  <c r="G72" i="17"/>
  <c r="F72" i="17"/>
  <c r="E72" i="17"/>
  <c r="D72" i="17"/>
  <c r="H72" i="17" s="1"/>
  <c r="G71" i="17"/>
  <c r="F71" i="17"/>
  <c r="E71" i="17"/>
  <c r="D71" i="17"/>
  <c r="H71" i="17" s="1"/>
  <c r="G70" i="17"/>
  <c r="F70" i="17"/>
  <c r="E70" i="17"/>
  <c r="D70" i="17"/>
  <c r="H70" i="17" s="1"/>
  <c r="H69" i="17"/>
  <c r="G69" i="17"/>
  <c r="F69" i="17"/>
  <c r="E69" i="17"/>
  <c r="D69" i="17"/>
  <c r="H68" i="17"/>
  <c r="G68" i="17"/>
  <c r="F68" i="17"/>
  <c r="E68" i="17"/>
  <c r="D68" i="17"/>
  <c r="G67" i="17"/>
  <c r="F67" i="17"/>
  <c r="E67" i="17"/>
  <c r="D67" i="17"/>
  <c r="H67" i="17" s="1"/>
  <c r="H66" i="17"/>
  <c r="G66" i="17"/>
  <c r="F66" i="17"/>
  <c r="E66" i="17"/>
  <c r="D66" i="17"/>
  <c r="G65" i="17"/>
  <c r="F65" i="17"/>
  <c r="E65" i="17"/>
  <c r="D65" i="17"/>
  <c r="H65" i="17" s="1"/>
  <c r="G64" i="17"/>
  <c r="F64" i="17"/>
  <c r="E64" i="17"/>
  <c r="D64" i="17"/>
  <c r="H64" i="17" s="1"/>
  <c r="H63" i="17"/>
  <c r="G63" i="17"/>
  <c r="F63" i="17"/>
  <c r="E63" i="17"/>
  <c r="D63" i="17"/>
  <c r="G62" i="17"/>
  <c r="F62" i="17"/>
  <c r="E62" i="17"/>
  <c r="D62" i="17"/>
  <c r="H62" i="17" s="1"/>
  <c r="H61" i="17"/>
  <c r="G61" i="17"/>
  <c r="F61" i="17"/>
  <c r="E61" i="17"/>
  <c r="D61" i="17"/>
  <c r="G60" i="17"/>
  <c r="F60" i="17"/>
  <c r="E60" i="17"/>
  <c r="D60" i="17"/>
  <c r="H60" i="17" s="1"/>
  <c r="G59" i="17"/>
  <c r="F59" i="17"/>
  <c r="E59" i="17"/>
  <c r="D59" i="17"/>
  <c r="H59" i="17" s="1"/>
  <c r="H58" i="17"/>
  <c r="G58" i="17"/>
  <c r="F58" i="17"/>
  <c r="E58" i="17"/>
  <c r="D58" i="17"/>
  <c r="G57" i="17"/>
  <c r="F57" i="17"/>
  <c r="E57" i="17"/>
  <c r="D57" i="17"/>
  <c r="H57" i="17" s="1"/>
  <c r="H56" i="17"/>
  <c r="G56" i="17"/>
  <c r="F56" i="17"/>
  <c r="E56" i="17"/>
  <c r="D56" i="17"/>
  <c r="G55" i="17"/>
  <c r="F55" i="17"/>
  <c r="E55" i="17"/>
  <c r="D55" i="17"/>
  <c r="H55" i="17" s="1"/>
  <c r="G54" i="17"/>
  <c r="F54" i="17"/>
  <c r="E54" i="17"/>
  <c r="D54" i="17"/>
  <c r="H54" i="17" s="1"/>
  <c r="H53" i="17"/>
  <c r="G53" i="17"/>
  <c r="F53" i="17"/>
  <c r="E53" i="17"/>
  <c r="D53" i="17"/>
  <c r="G52" i="17"/>
  <c r="F52" i="17"/>
  <c r="E52" i="17"/>
  <c r="D52" i="17"/>
  <c r="H52" i="17" s="1"/>
  <c r="H51" i="17"/>
  <c r="G51" i="17"/>
  <c r="F51" i="17"/>
  <c r="E51" i="17"/>
  <c r="D51" i="17"/>
  <c r="H50" i="17"/>
  <c r="G50" i="17"/>
  <c r="F50" i="17"/>
  <c r="E50" i="17"/>
  <c r="D50" i="17"/>
  <c r="G49" i="17"/>
  <c r="F49" i="17"/>
  <c r="E49" i="17"/>
  <c r="D49" i="17"/>
  <c r="H49" i="17" s="1"/>
  <c r="G48" i="17"/>
  <c r="F48" i="17"/>
  <c r="E48" i="17"/>
  <c r="D48" i="17"/>
  <c r="H48" i="17" s="1"/>
  <c r="G47" i="17"/>
  <c r="F47" i="17"/>
  <c r="E47" i="17"/>
  <c r="D47" i="17"/>
  <c r="H47" i="17" s="1"/>
  <c r="G46" i="17"/>
  <c r="F46" i="17"/>
  <c r="E46" i="17"/>
  <c r="D46" i="17"/>
  <c r="H46" i="17" s="1"/>
  <c r="H45" i="17"/>
  <c r="G45" i="17"/>
  <c r="F45" i="17"/>
  <c r="E45" i="17"/>
  <c r="D45" i="17"/>
  <c r="H44" i="17"/>
  <c r="G44" i="17"/>
  <c r="F44" i="17"/>
  <c r="E44" i="17"/>
  <c r="D44" i="17"/>
  <c r="H43" i="17"/>
  <c r="G43" i="17"/>
  <c r="F43" i="17"/>
  <c r="E43" i="17"/>
  <c r="D43" i="17"/>
  <c r="H42" i="17"/>
  <c r="G42" i="17"/>
  <c r="F42" i="17"/>
  <c r="E42" i="17"/>
  <c r="D42" i="17"/>
  <c r="G41" i="17"/>
  <c r="F41" i="17"/>
  <c r="E41" i="17"/>
  <c r="D41" i="17"/>
  <c r="H41" i="17" s="1"/>
  <c r="G40" i="17"/>
  <c r="F40" i="17"/>
  <c r="E40" i="17"/>
  <c r="D40" i="17"/>
  <c r="H40" i="17" s="1"/>
  <c r="H39" i="17"/>
  <c r="G39" i="17"/>
  <c r="F39" i="17"/>
  <c r="E39" i="17"/>
  <c r="D39" i="17"/>
  <c r="G38" i="17"/>
  <c r="F38" i="17"/>
  <c r="E38" i="17"/>
  <c r="D38" i="17"/>
  <c r="H38" i="17" s="1"/>
  <c r="H37" i="17"/>
  <c r="G37" i="17"/>
  <c r="F37" i="17"/>
  <c r="E37" i="17"/>
  <c r="D37" i="17"/>
  <c r="H36" i="17"/>
  <c r="G36" i="17"/>
  <c r="F36" i="17"/>
  <c r="E36" i="17"/>
  <c r="D36" i="17"/>
  <c r="G35" i="17"/>
  <c r="F35" i="17"/>
  <c r="E35" i="17"/>
  <c r="D35" i="17"/>
  <c r="H35" i="17" s="1"/>
  <c r="H34" i="17"/>
  <c r="G34" i="17"/>
  <c r="F34" i="17"/>
  <c r="E34" i="17"/>
  <c r="D34" i="17"/>
  <c r="G33" i="17"/>
  <c r="F33" i="17"/>
  <c r="E33" i="17"/>
  <c r="D33" i="17"/>
  <c r="H33" i="17" s="1"/>
  <c r="H32" i="17"/>
  <c r="G32" i="17"/>
  <c r="F32" i="17"/>
  <c r="E32" i="17"/>
  <c r="D32" i="17"/>
  <c r="H31" i="17"/>
  <c r="G31" i="17"/>
  <c r="F31" i="17"/>
  <c r="E31" i="17"/>
  <c r="D31" i="17"/>
  <c r="G30" i="17"/>
  <c r="F30" i="17"/>
  <c r="E30" i="17"/>
  <c r="D30" i="17"/>
  <c r="H30" i="17" s="1"/>
  <c r="H29" i="17"/>
  <c r="G29" i="17"/>
  <c r="F29" i="17"/>
  <c r="E29" i="17"/>
  <c r="D29" i="17"/>
  <c r="H28" i="17"/>
  <c r="G28" i="17"/>
  <c r="F28" i="17"/>
  <c r="E28" i="17"/>
  <c r="D28" i="17"/>
  <c r="H27" i="17"/>
  <c r="G27" i="17"/>
  <c r="F27" i="17"/>
  <c r="E27" i="17"/>
  <c r="D27" i="17"/>
  <c r="H26" i="17"/>
  <c r="G26" i="17"/>
  <c r="F26" i="17"/>
  <c r="E26" i="17"/>
  <c r="D26" i="17"/>
  <c r="G25" i="17"/>
  <c r="F25" i="17"/>
  <c r="E25" i="17"/>
  <c r="D25" i="17"/>
  <c r="H25" i="17" s="1"/>
  <c r="H24" i="17"/>
  <c r="G24" i="17"/>
  <c r="F24" i="17"/>
  <c r="E24" i="17"/>
  <c r="D24" i="17"/>
  <c r="H23" i="17"/>
  <c r="G23" i="17"/>
  <c r="F23" i="17"/>
  <c r="E23" i="17"/>
  <c r="D23" i="17"/>
  <c r="G22" i="17"/>
  <c r="F22" i="17"/>
  <c r="E22" i="17"/>
  <c r="D22" i="17"/>
  <c r="H22" i="17" s="1"/>
  <c r="H21" i="17"/>
  <c r="G21" i="17"/>
  <c r="F21" i="17"/>
  <c r="E21" i="17"/>
  <c r="D21" i="17"/>
  <c r="G20" i="17"/>
  <c r="F20" i="17"/>
  <c r="E20" i="17"/>
  <c r="D20" i="17"/>
  <c r="H20" i="17" s="1"/>
  <c r="H19" i="17"/>
  <c r="G19" i="17"/>
  <c r="F19" i="17"/>
  <c r="E19" i="17"/>
  <c r="D19" i="17"/>
  <c r="H18" i="17"/>
  <c r="G18" i="17"/>
  <c r="F18" i="17"/>
  <c r="E18" i="17"/>
  <c r="D18" i="17"/>
  <c r="G17" i="17"/>
  <c r="F17" i="17"/>
  <c r="E17" i="17"/>
  <c r="D17" i="17"/>
  <c r="H17" i="17" s="1"/>
  <c r="H16" i="17"/>
  <c r="G16" i="17"/>
  <c r="F16" i="17"/>
  <c r="E16" i="17"/>
  <c r="D16" i="17"/>
  <c r="G15" i="17"/>
  <c r="F15" i="17"/>
  <c r="E15" i="17"/>
  <c r="D15" i="17"/>
  <c r="H15" i="17" s="1"/>
  <c r="G14" i="17"/>
  <c r="F14" i="17"/>
  <c r="E14" i="17"/>
  <c r="D14" i="17"/>
  <c r="H14" i="17" s="1"/>
  <c r="H13" i="17"/>
  <c r="G13" i="17"/>
  <c r="F13" i="17"/>
  <c r="E13" i="17"/>
  <c r="D13" i="17"/>
  <c r="G12" i="17"/>
  <c r="F12" i="17"/>
  <c r="E12" i="17"/>
  <c r="D12" i="17"/>
  <c r="H12" i="17" s="1"/>
  <c r="G11" i="17"/>
  <c r="F11" i="17"/>
  <c r="E11" i="17"/>
  <c r="D11" i="17"/>
  <c r="H11" i="17" s="1"/>
  <c r="H10" i="17"/>
  <c r="G10" i="17"/>
  <c r="F10" i="17"/>
  <c r="E10" i="17"/>
  <c r="D10" i="17"/>
  <c r="G9" i="17"/>
  <c r="F9" i="17"/>
  <c r="E9" i="17"/>
  <c r="D9" i="17"/>
  <c r="H9" i="17" s="1"/>
  <c r="G8" i="17"/>
  <c r="F8" i="17"/>
  <c r="E8" i="17"/>
  <c r="D8" i="17"/>
  <c r="H8" i="17" s="1"/>
  <c r="G7" i="17"/>
  <c r="F7" i="17"/>
  <c r="E7" i="17"/>
  <c r="D7" i="17"/>
  <c r="G6" i="17"/>
  <c r="F6" i="17"/>
  <c r="E6" i="17"/>
  <c r="D6" i="17"/>
  <c r="H6" i="17" s="1"/>
  <c r="H5" i="17"/>
  <c r="G5" i="17"/>
  <c r="F5" i="17"/>
  <c r="E5" i="17"/>
  <c r="D5" i="17"/>
  <c r="B125" i="16"/>
  <c r="F124" i="16"/>
  <c r="C124" i="16"/>
  <c r="B124" i="16"/>
  <c r="C113" i="16"/>
  <c r="B113" i="16"/>
  <c r="G112" i="16"/>
  <c r="F112" i="16"/>
  <c r="E112" i="16"/>
  <c r="D112" i="16"/>
  <c r="H112" i="16" s="1"/>
  <c r="H111" i="16"/>
  <c r="G111" i="16"/>
  <c r="F111" i="16"/>
  <c r="E111" i="16"/>
  <c r="D111" i="16"/>
  <c r="H110" i="16"/>
  <c r="G110" i="16"/>
  <c r="F110" i="16"/>
  <c r="E110" i="16"/>
  <c r="D110" i="16"/>
  <c r="G109" i="16"/>
  <c r="F109" i="16"/>
  <c r="E109" i="16"/>
  <c r="D109" i="16"/>
  <c r="H109" i="16" s="1"/>
  <c r="H108" i="16"/>
  <c r="G108" i="16"/>
  <c r="F108" i="16"/>
  <c r="E108" i="16"/>
  <c r="D108" i="16"/>
  <c r="G107" i="16"/>
  <c r="F107" i="16"/>
  <c r="E107" i="16"/>
  <c r="D107" i="16"/>
  <c r="H107" i="16" s="1"/>
  <c r="G106" i="16"/>
  <c r="F106" i="16"/>
  <c r="E106" i="16"/>
  <c r="D106" i="16"/>
  <c r="H106" i="16" s="1"/>
  <c r="H105" i="16"/>
  <c r="G105" i="16"/>
  <c r="F105" i="16"/>
  <c r="E105" i="16"/>
  <c r="D105" i="16"/>
  <c r="H104" i="16"/>
  <c r="G104" i="16"/>
  <c r="F104" i="16"/>
  <c r="E104" i="16"/>
  <c r="D104" i="16"/>
  <c r="H103" i="16"/>
  <c r="G103" i="16"/>
  <c r="F103" i="16"/>
  <c r="E103" i="16"/>
  <c r="D103" i="16"/>
  <c r="H102" i="16"/>
  <c r="G102" i="16"/>
  <c r="F102" i="16"/>
  <c r="E102" i="16"/>
  <c r="D102" i="16"/>
  <c r="G101" i="16"/>
  <c r="F101" i="16"/>
  <c r="E101" i="16"/>
  <c r="D101" i="16"/>
  <c r="H101" i="16" s="1"/>
  <c r="H100" i="16"/>
  <c r="G100" i="16"/>
  <c r="F100" i="16"/>
  <c r="E100" i="16"/>
  <c r="D100" i="16"/>
  <c r="H99" i="16"/>
  <c r="G99" i="16"/>
  <c r="F99" i="16"/>
  <c r="E99" i="16"/>
  <c r="D99" i="16"/>
  <c r="G98" i="16"/>
  <c r="F98" i="16"/>
  <c r="E98" i="16"/>
  <c r="D98" i="16"/>
  <c r="H98" i="16" s="1"/>
  <c r="H97" i="16"/>
  <c r="G97" i="16"/>
  <c r="F97" i="16"/>
  <c r="E97" i="16"/>
  <c r="D97" i="16"/>
  <c r="H96" i="16"/>
  <c r="G96" i="16"/>
  <c r="F96" i="16"/>
  <c r="E96" i="16"/>
  <c r="D96" i="16"/>
  <c r="H95" i="16"/>
  <c r="G95" i="16"/>
  <c r="F95" i="16"/>
  <c r="E95" i="16"/>
  <c r="D95" i="16"/>
  <c r="H94" i="16"/>
  <c r="G94" i="16"/>
  <c r="F94" i="16"/>
  <c r="E94" i="16"/>
  <c r="D94" i="16"/>
  <c r="G93" i="16"/>
  <c r="F93" i="16"/>
  <c r="E93" i="16"/>
  <c r="D93" i="16"/>
  <c r="H93" i="16" s="1"/>
  <c r="G92" i="16"/>
  <c r="F92" i="16"/>
  <c r="E92" i="16"/>
  <c r="D92" i="16"/>
  <c r="H92" i="16" s="1"/>
  <c r="H91" i="16"/>
  <c r="G91" i="16"/>
  <c r="F91" i="16"/>
  <c r="E91" i="16"/>
  <c r="D91" i="16"/>
  <c r="G90" i="16"/>
  <c r="F90" i="16"/>
  <c r="E90" i="16"/>
  <c r="D90" i="16"/>
  <c r="H90" i="16" s="1"/>
  <c r="H89" i="16"/>
  <c r="G89" i="16"/>
  <c r="F89" i="16"/>
  <c r="E89" i="16"/>
  <c r="D89" i="16"/>
  <c r="H88" i="16"/>
  <c r="G88" i="16"/>
  <c r="F88" i="16"/>
  <c r="E88" i="16"/>
  <c r="D88" i="16"/>
  <c r="G87" i="16"/>
  <c r="F87" i="16"/>
  <c r="E87" i="16"/>
  <c r="D87" i="16"/>
  <c r="H87" i="16" s="1"/>
  <c r="H86" i="16"/>
  <c r="G86" i="16"/>
  <c r="F86" i="16"/>
  <c r="E86" i="16"/>
  <c r="D86" i="16"/>
  <c r="G85" i="16"/>
  <c r="F85" i="16"/>
  <c r="E85" i="16"/>
  <c r="D85" i="16"/>
  <c r="H85" i="16" s="1"/>
  <c r="G84" i="16"/>
  <c r="F84" i="16"/>
  <c r="E84" i="16"/>
  <c r="D84" i="16"/>
  <c r="H84" i="16" s="1"/>
  <c r="H83" i="16"/>
  <c r="G83" i="16"/>
  <c r="F83" i="16"/>
  <c r="E83" i="16"/>
  <c r="D83" i="16"/>
  <c r="G82" i="16"/>
  <c r="F82" i="16"/>
  <c r="E82" i="16"/>
  <c r="D82" i="16"/>
  <c r="H82" i="16" s="1"/>
  <c r="H81" i="16"/>
  <c r="G81" i="16"/>
  <c r="F81" i="16"/>
  <c r="E81" i="16"/>
  <c r="D81" i="16"/>
  <c r="G80" i="16"/>
  <c r="F80" i="16"/>
  <c r="E80" i="16"/>
  <c r="D80" i="16"/>
  <c r="H80" i="16" s="1"/>
  <c r="G79" i="16"/>
  <c r="F79" i="16"/>
  <c r="E79" i="16"/>
  <c r="D79" i="16"/>
  <c r="H79" i="16" s="1"/>
  <c r="H78" i="16"/>
  <c r="G78" i="16"/>
  <c r="F78" i="16"/>
  <c r="E78" i="16"/>
  <c r="D78" i="16"/>
  <c r="G77" i="16"/>
  <c r="F77" i="16"/>
  <c r="E77" i="16"/>
  <c r="D77" i="16"/>
  <c r="H77" i="16" s="1"/>
  <c r="H76" i="16"/>
  <c r="G76" i="16"/>
  <c r="F76" i="16"/>
  <c r="E76" i="16"/>
  <c r="D76" i="16"/>
  <c r="G75" i="16"/>
  <c r="F75" i="16"/>
  <c r="E75" i="16"/>
  <c r="D75" i="16"/>
  <c r="H75" i="16" s="1"/>
  <c r="G74" i="16"/>
  <c r="F74" i="16"/>
  <c r="E74" i="16"/>
  <c r="D74" i="16"/>
  <c r="H74" i="16" s="1"/>
  <c r="H73" i="16"/>
  <c r="G73" i="16"/>
  <c r="F73" i="16"/>
  <c r="E73" i="16"/>
  <c r="D73" i="16"/>
  <c r="G72" i="16"/>
  <c r="F72" i="16"/>
  <c r="E72" i="16"/>
  <c r="D72" i="16"/>
  <c r="H72" i="16" s="1"/>
  <c r="H71" i="16"/>
  <c r="G71" i="16"/>
  <c r="F71" i="16"/>
  <c r="E71" i="16"/>
  <c r="D71" i="16"/>
  <c r="H70" i="16"/>
  <c r="G70" i="16"/>
  <c r="F70" i="16"/>
  <c r="E70" i="16"/>
  <c r="D70" i="16"/>
  <c r="G69" i="16"/>
  <c r="F69" i="16"/>
  <c r="E69" i="16"/>
  <c r="D69" i="16"/>
  <c r="H69" i="16" s="1"/>
  <c r="G68" i="16"/>
  <c r="F68" i="16"/>
  <c r="E68" i="16"/>
  <c r="D68" i="16"/>
  <c r="H68" i="16" s="1"/>
  <c r="G67" i="16"/>
  <c r="F67" i="16"/>
  <c r="E67" i="16"/>
  <c r="D67" i="16"/>
  <c r="H67" i="16" s="1"/>
  <c r="G66" i="16"/>
  <c r="F66" i="16"/>
  <c r="E66" i="16"/>
  <c r="D66" i="16"/>
  <c r="H66" i="16" s="1"/>
  <c r="H65" i="16"/>
  <c r="G65" i="16"/>
  <c r="F65" i="16"/>
  <c r="E65" i="16"/>
  <c r="D65" i="16"/>
  <c r="H64" i="16"/>
  <c r="G64" i="16"/>
  <c r="F64" i="16"/>
  <c r="E64" i="16"/>
  <c r="D64" i="16"/>
  <c r="H63" i="16"/>
  <c r="G63" i="16"/>
  <c r="F63" i="16"/>
  <c r="E63" i="16"/>
  <c r="D63" i="16"/>
  <c r="H62" i="16"/>
  <c r="G62" i="16"/>
  <c r="F62" i="16"/>
  <c r="E62" i="16"/>
  <c r="D62" i="16"/>
  <c r="G61" i="16"/>
  <c r="F61" i="16"/>
  <c r="E61" i="16"/>
  <c r="D61" i="16"/>
  <c r="H61" i="16" s="1"/>
  <c r="G60" i="16"/>
  <c r="F60" i="16"/>
  <c r="E60" i="16"/>
  <c r="D60" i="16"/>
  <c r="H60" i="16" s="1"/>
  <c r="H59" i="16"/>
  <c r="G59" i="16"/>
  <c r="F59" i="16"/>
  <c r="E59" i="16"/>
  <c r="D59" i="16"/>
  <c r="G58" i="16"/>
  <c r="F58" i="16"/>
  <c r="E58" i="16"/>
  <c r="D58" i="16"/>
  <c r="H58" i="16" s="1"/>
  <c r="H57" i="16"/>
  <c r="G57" i="16"/>
  <c r="F57" i="16"/>
  <c r="E57" i="16"/>
  <c r="D57" i="16"/>
  <c r="H56" i="16"/>
  <c r="G56" i="16"/>
  <c r="F56" i="16"/>
  <c r="E56" i="16"/>
  <c r="D56" i="16"/>
  <c r="G55" i="16"/>
  <c r="F55" i="16"/>
  <c r="E55" i="16"/>
  <c r="D55" i="16"/>
  <c r="H55" i="16" s="1"/>
  <c r="H54" i="16"/>
  <c r="G54" i="16"/>
  <c r="F54" i="16"/>
  <c r="E54" i="16"/>
  <c r="D54" i="16"/>
  <c r="G53" i="16"/>
  <c r="F53" i="16"/>
  <c r="E53" i="16"/>
  <c r="D53" i="16"/>
  <c r="H53" i="16" s="1"/>
  <c r="H52" i="16"/>
  <c r="G52" i="16"/>
  <c r="F52" i="16"/>
  <c r="E52" i="16"/>
  <c r="D52" i="16"/>
  <c r="H51" i="16"/>
  <c r="G51" i="16"/>
  <c r="F51" i="16"/>
  <c r="E51" i="16"/>
  <c r="D51" i="16"/>
  <c r="G50" i="16"/>
  <c r="F50" i="16"/>
  <c r="E50" i="16"/>
  <c r="D50" i="16"/>
  <c r="H50" i="16" s="1"/>
  <c r="H49" i="16"/>
  <c r="G49" i="16"/>
  <c r="F49" i="16"/>
  <c r="E49" i="16"/>
  <c r="D49" i="16"/>
  <c r="G48" i="16"/>
  <c r="F48" i="16"/>
  <c r="E48" i="16"/>
  <c r="D48" i="16"/>
  <c r="H48" i="16" s="1"/>
  <c r="H47" i="16"/>
  <c r="G47" i="16"/>
  <c r="F47" i="16"/>
  <c r="E47" i="16"/>
  <c r="D47" i="16"/>
  <c r="H46" i="16"/>
  <c r="G46" i="16"/>
  <c r="F46" i="16"/>
  <c r="E46" i="16"/>
  <c r="D46" i="16"/>
  <c r="G45" i="16"/>
  <c r="F45" i="16"/>
  <c r="E45" i="16"/>
  <c r="D45" i="16"/>
  <c r="H45" i="16" s="1"/>
  <c r="H44" i="16"/>
  <c r="G44" i="16"/>
  <c r="F44" i="16"/>
  <c r="E44" i="16"/>
  <c r="D44" i="16"/>
  <c r="G43" i="16"/>
  <c r="F43" i="16"/>
  <c r="E43" i="16"/>
  <c r="D43" i="16"/>
  <c r="H43" i="16" s="1"/>
  <c r="G42" i="16"/>
  <c r="F42" i="16"/>
  <c r="E42" i="16"/>
  <c r="D42" i="16"/>
  <c r="H42" i="16" s="1"/>
  <c r="H41" i="16"/>
  <c r="G41" i="16"/>
  <c r="F41" i="16"/>
  <c r="E41" i="16"/>
  <c r="D41" i="16"/>
  <c r="H40" i="16"/>
  <c r="G40" i="16"/>
  <c r="F40" i="16"/>
  <c r="E40" i="16"/>
  <c r="D40" i="16"/>
  <c r="H39" i="16"/>
  <c r="G39" i="16"/>
  <c r="F39" i="16"/>
  <c r="E39" i="16"/>
  <c r="D39" i="16"/>
  <c r="H38" i="16"/>
  <c r="G38" i="16"/>
  <c r="F38" i="16"/>
  <c r="E38" i="16"/>
  <c r="D38" i="16"/>
  <c r="G37" i="16"/>
  <c r="F37" i="16"/>
  <c r="E37" i="16"/>
  <c r="D37" i="16"/>
  <c r="H37" i="16" s="1"/>
  <c r="G36" i="16"/>
  <c r="F36" i="16"/>
  <c r="E36" i="16"/>
  <c r="D36" i="16"/>
  <c r="H36" i="16" s="1"/>
  <c r="H35" i="16"/>
  <c r="G35" i="16"/>
  <c r="F35" i="16"/>
  <c r="E35" i="16"/>
  <c r="D35" i="16"/>
  <c r="G34" i="16"/>
  <c r="F34" i="16"/>
  <c r="E34" i="16"/>
  <c r="D34" i="16"/>
  <c r="H34" i="16" s="1"/>
  <c r="H33" i="16"/>
  <c r="G33" i="16"/>
  <c r="F33" i="16"/>
  <c r="E33" i="16"/>
  <c r="D33" i="16"/>
  <c r="H32" i="16"/>
  <c r="G32" i="16"/>
  <c r="F32" i="16"/>
  <c r="E32" i="16"/>
  <c r="D32" i="16"/>
  <c r="G31" i="16"/>
  <c r="F31" i="16"/>
  <c r="E31" i="16"/>
  <c r="D31" i="16"/>
  <c r="H31" i="16" s="1"/>
  <c r="H30" i="16"/>
  <c r="G30" i="16"/>
  <c r="F30" i="16"/>
  <c r="E30" i="16"/>
  <c r="D30" i="16"/>
  <c r="G29" i="16"/>
  <c r="F29" i="16"/>
  <c r="E29" i="16"/>
  <c r="D29" i="16"/>
  <c r="H29" i="16" s="1"/>
  <c r="G28" i="16"/>
  <c r="F28" i="16"/>
  <c r="E28" i="16"/>
  <c r="D28" i="16"/>
  <c r="H28" i="16" s="1"/>
  <c r="H27" i="16"/>
  <c r="G27" i="16"/>
  <c r="F27" i="16"/>
  <c r="E27" i="16"/>
  <c r="D27" i="16"/>
  <c r="G26" i="16"/>
  <c r="F26" i="16"/>
  <c r="E26" i="16"/>
  <c r="D26" i="16"/>
  <c r="H26" i="16" s="1"/>
  <c r="H25" i="16"/>
  <c r="G25" i="16"/>
  <c r="F25" i="16"/>
  <c r="E25" i="16"/>
  <c r="D25" i="16"/>
  <c r="G24" i="16"/>
  <c r="F24" i="16"/>
  <c r="E24" i="16"/>
  <c r="D24" i="16"/>
  <c r="H24" i="16" s="1"/>
  <c r="G23" i="16"/>
  <c r="F23" i="16"/>
  <c r="E23" i="16"/>
  <c r="D23" i="16"/>
  <c r="H23" i="16" s="1"/>
  <c r="H22" i="16"/>
  <c r="G22" i="16"/>
  <c r="F22" i="16"/>
  <c r="E22" i="16"/>
  <c r="D22" i="16"/>
  <c r="G21" i="16"/>
  <c r="F21" i="16"/>
  <c r="E21" i="16"/>
  <c r="D21" i="16"/>
  <c r="H21" i="16" s="1"/>
  <c r="G20" i="16"/>
  <c r="F20" i="16"/>
  <c r="E20" i="16"/>
  <c r="D20" i="16"/>
  <c r="H20" i="16" s="1"/>
  <c r="H19" i="16"/>
  <c r="G19" i="16"/>
  <c r="F19" i="16"/>
  <c r="E19" i="16"/>
  <c r="D19" i="16"/>
  <c r="G18" i="16"/>
  <c r="F18" i="16"/>
  <c r="E18" i="16"/>
  <c r="D18" i="16"/>
  <c r="H18" i="16" s="1"/>
  <c r="H17" i="16"/>
  <c r="G17" i="16"/>
  <c r="F17" i="16"/>
  <c r="E17" i="16"/>
  <c r="D17" i="16"/>
  <c r="G16" i="16"/>
  <c r="F16" i="16"/>
  <c r="E16" i="16"/>
  <c r="D16" i="16"/>
  <c r="H16" i="16" s="1"/>
  <c r="G15" i="16"/>
  <c r="F15" i="16"/>
  <c r="E15" i="16"/>
  <c r="D15" i="16"/>
  <c r="H15" i="16" s="1"/>
  <c r="H14" i="16"/>
  <c r="G14" i="16"/>
  <c r="F14" i="16"/>
  <c r="E14" i="16"/>
  <c r="D14" i="16"/>
  <c r="G13" i="16"/>
  <c r="F13" i="16"/>
  <c r="E13" i="16"/>
  <c r="D13" i="16"/>
  <c r="H13" i="16" s="1"/>
  <c r="H12" i="16"/>
  <c r="G12" i="16"/>
  <c r="F12" i="16"/>
  <c r="E12" i="16"/>
  <c r="D12" i="16"/>
  <c r="G11" i="16"/>
  <c r="F11" i="16"/>
  <c r="E11" i="16"/>
  <c r="D11" i="16"/>
  <c r="H11" i="16" s="1"/>
  <c r="G10" i="16"/>
  <c r="F10" i="16"/>
  <c r="E10" i="16"/>
  <c r="D10" i="16"/>
  <c r="H10" i="16" s="1"/>
  <c r="H9" i="16"/>
  <c r="G9" i="16"/>
  <c r="F9" i="16"/>
  <c r="E9" i="16"/>
  <c r="D9" i="16"/>
  <c r="G8" i="16"/>
  <c r="F8" i="16"/>
  <c r="E8" i="16"/>
  <c r="D8" i="16"/>
  <c r="H8" i="16" s="1"/>
  <c r="H7" i="16"/>
  <c r="G7" i="16"/>
  <c r="F7" i="16"/>
  <c r="E7" i="16"/>
  <c r="D7" i="16"/>
  <c r="H6" i="16"/>
  <c r="G6" i="16"/>
  <c r="F6" i="16"/>
  <c r="E6" i="16"/>
  <c r="D6" i="16"/>
  <c r="G5" i="16"/>
  <c r="F5" i="16"/>
  <c r="E5" i="16"/>
  <c r="D5" i="16"/>
  <c r="H5" i="16" s="1"/>
  <c r="C64" i="15"/>
  <c r="B64" i="15"/>
  <c r="C53" i="15"/>
  <c r="F64" i="15" s="1"/>
  <c r="B53" i="15"/>
  <c r="B65" i="15" s="1"/>
  <c r="H52" i="15"/>
  <c r="G52" i="15"/>
  <c r="F52" i="15"/>
  <c r="E52" i="15"/>
  <c r="D52" i="15"/>
  <c r="G51" i="15"/>
  <c r="F51" i="15"/>
  <c r="E51" i="15"/>
  <c r="D51" i="15"/>
  <c r="H51" i="15" s="1"/>
  <c r="G50" i="15"/>
  <c r="F50" i="15"/>
  <c r="E50" i="15"/>
  <c r="D50" i="15"/>
  <c r="H50" i="15" s="1"/>
  <c r="H49" i="15"/>
  <c r="G49" i="15"/>
  <c r="F49" i="15"/>
  <c r="E49" i="15"/>
  <c r="D49" i="15"/>
  <c r="G48" i="15"/>
  <c r="F48" i="15"/>
  <c r="E48" i="15"/>
  <c r="D48" i="15"/>
  <c r="H48" i="15" s="1"/>
  <c r="H47" i="15"/>
  <c r="G47" i="15"/>
  <c r="F47" i="15"/>
  <c r="E47" i="15"/>
  <c r="D47" i="15"/>
  <c r="H46" i="15"/>
  <c r="G46" i="15"/>
  <c r="F46" i="15"/>
  <c r="E46" i="15"/>
  <c r="D46" i="15"/>
  <c r="G45" i="15"/>
  <c r="F45" i="15"/>
  <c r="E45" i="15"/>
  <c r="D45" i="15"/>
  <c r="H45" i="15" s="1"/>
  <c r="G44" i="15"/>
  <c r="F44" i="15"/>
  <c r="E44" i="15"/>
  <c r="D44" i="15"/>
  <c r="H44" i="15" s="1"/>
  <c r="G43" i="15"/>
  <c r="F43" i="15"/>
  <c r="E43" i="15"/>
  <c r="D43" i="15"/>
  <c r="H43" i="15" s="1"/>
  <c r="G42" i="15"/>
  <c r="F42" i="15"/>
  <c r="E42" i="15"/>
  <c r="D42" i="15"/>
  <c r="H42" i="15" s="1"/>
  <c r="H41" i="15"/>
  <c r="G41" i="15"/>
  <c r="F41" i="15"/>
  <c r="E41" i="15"/>
  <c r="D41" i="15"/>
  <c r="H40" i="15"/>
  <c r="G40" i="15"/>
  <c r="F40" i="15"/>
  <c r="E40" i="15"/>
  <c r="D40" i="15"/>
  <c r="G39" i="15"/>
  <c r="F39" i="15"/>
  <c r="E39" i="15"/>
  <c r="D39" i="15"/>
  <c r="H39" i="15" s="1"/>
  <c r="H38" i="15"/>
  <c r="G38" i="15"/>
  <c r="F38" i="15"/>
  <c r="E38" i="15"/>
  <c r="D38" i="15"/>
  <c r="G37" i="15"/>
  <c r="F37" i="15"/>
  <c r="E37" i="15"/>
  <c r="D37" i="15"/>
  <c r="H37" i="15" s="1"/>
  <c r="G36" i="15"/>
  <c r="F36" i="15"/>
  <c r="E36" i="15"/>
  <c r="D36" i="15"/>
  <c r="H36" i="15" s="1"/>
  <c r="H35" i="15"/>
  <c r="G35" i="15"/>
  <c r="F35" i="15"/>
  <c r="E35" i="15"/>
  <c r="D35" i="15"/>
  <c r="G34" i="15"/>
  <c r="F34" i="15"/>
  <c r="E34" i="15"/>
  <c r="D34" i="15"/>
  <c r="H34" i="15" s="1"/>
  <c r="H33" i="15"/>
  <c r="G33" i="15"/>
  <c r="F33" i="15"/>
  <c r="E33" i="15"/>
  <c r="D33" i="15"/>
  <c r="G32" i="15"/>
  <c r="F32" i="15"/>
  <c r="E32" i="15"/>
  <c r="D32" i="15"/>
  <c r="H32" i="15" s="1"/>
  <c r="G31" i="15"/>
  <c r="F31" i="15"/>
  <c r="E31" i="15"/>
  <c r="D31" i="15"/>
  <c r="H31" i="15" s="1"/>
  <c r="H30" i="15"/>
  <c r="G30" i="15"/>
  <c r="F30" i="15"/>
  <c r="E30" i="15"/>
  <c r="D30" i="15"/>
  <c r="G29" i="15"/>
  <c r="F29" i="15"/>
  <c r="E29" i="15"/>
  <c r="D29" i="15"/>
  <c r="H29" i="15" s="1"/>
  <c r="G28" i="15"/>
  <c r="F28" i="15"/>
  <c r="E28" i="15"/>
  <c r="D28" i="15"/>
  <c r="H28" i="15" s="1"/>
  <c r="H27" i="15"/>
  <c r="G27" i="15"/>
  <c r="F27" i="15"/>
  <c r="E27" i="15"/>
  <c r="D27" i="15"/>
  <c r="G26" i="15"/>
  <c r="F26" i="15"/>
  <c r="E26" i="15"/>
  <c r="D26" i="15"/>
  <c r="H26" i="15" s="1"/>
  <c r="H25" i="15"/>
  <c r="G25" i="15"/>
  <c r="F25" i="15"/>
  <c r="E25" i="15"/>
  <c r="D25" i="15"/>
  <c r="G24" i="15"/>
  <c r="F24" i="15"/>
  <c r="E24" i="15"/>
  <c r="D24" i="15"/>
  <c r="H24" i="15" s="1"/>
  <c r="G23" i="15"/>
  <c r="F23" i="15"/>
  <c r="E23" i="15"/>
  <c r="D23" i="15"/>
  <c r="H23" i="15" s="1"/>
  <c r="H22" i="15"/>
  <c r="G22" i="15"/>
  <c r="F22" i="15"/>
  <c r="E22" i="15"/>
  <c r="D22" i="15"/>
  <c r="G21" i="15"/>
  <c r="F21" i="15"/>
  <c r="E21" i="15"/>
  <c r="D21" i="15"/>
  <c r="H21" i="15" s="1"/>
  <c r="H20" i="15"/>
  <c r="G20" i="15"/>
  <c r="F20" i="15"/>
  <c r="E20" i="15"/>
  <c r="D20" i="15"/>
  <c r="G19" i="15"/>
  <c r="F19" i="15"/>
  <c r="E19" i="15"/>
  <c r="D19" i="15"/>
  <c r="H19" i="15" s="1"/>
  <c r="H18" i="15"/>
  <c r="G18" i="15"/>
  <c r="F18" i="15"/>
  <c r="E18" i="15"/>
  <c r="D18" i="15"/>
  <c r="H17" i="15"/>
  <c r="G17" i="15"/>
  <c r="F17" i="15"/>
  <c r="E17" i="15"/>
  <c r="D17" i="15"/>
  <c r="G16" i="15"/>
  <c r="F16" i="15"/>
  <c r="E16" i="15"/>
  <c r="D16" i="15"/>
  <c r="H16" i="15" s="1"/>
  <c r="H15" i="15"/>
  <c r="G15" i="15"/>
  <c r="F15" i="15"/>
  <c r="E15" i="15"/>
  <c r="D15" i="15"/>
  <c r="G14" i="15"/>
  <c r="F14" i="15"/>
  <c r="E14" i="15"/>
  <c r="D14" i="15"/>
  <c r="H14" i="15" s="1"/>
  <c r="G13" i="15"/>
  <c r="F13" i="15"/>
  <c r="E13" i="15"/>
  <c r="D13" i="15"/>
  <c r="H13" i="15" s="1"/>
  <c r="H12" i="15"/>
  <c r="G12" i="15"/>
  <c r="F12" i="15"/>
  <c r="E12" i="15"/>
  <c r="D12" i="15"/>
  <c r="G11" i="15"/>
  <c r="F11" i="15"/>
  <c r="E11" i="15"/>
  <c r="D11" i="15"/>
  <c r="H11" i="15" s="1"/>
  <c r="H10" i="15"/>
  <c r="G10" i="15"/>
  <c r="F10" i="15"/>
  <c r="E10" i="15"/>
  <c r="D10" i="15"/>
  <c r="H9" i="15"/>
  <c r="G9" i="15"/>
  <c r="F9" i="15"/>
  <c r="E9" i="15"/>
  <c r="D9" i="15"/>
  <c r="H8" i="15"/>
  <c r="G8" i="15"/>
  <c r="F8" i="15"/>
  <c r="E8" i="15"/>
  <c r="D8" i="15"/>
  <c r="H7" i="15"/>
  <c r="G7" i="15"/>
  <c r="F7" i="15"/>
  <c r="E7" i="15"/>
  <c r="D7" i="15"/>
  <c r="G6" i="15"/>
  <c r="F6" i="15"/>
  <c r="E6" i="15"/>
  <c r="D6" i="15"/>
  <c r="H6" i="15" s="1"/>
  <c r="G5" i="15"/>
  <c r="F5" i="15"/>
  <c r="E5" i="15"/>
  <c r="D5" i="15"/>
  <c r="H5" i="15" s="1"/>
  <c r="B16" i="14"/>
  <c r="C76" i="13"/>
  <c r="B76" i="13"/>
  <c r="C65" i="13"/>
  <c r="B65" i="13"/>
  <c r="B77" i="13" s="1"/>
  <c r="H64" i="13"/>
  <c r="G64" i="13"/>
  <c r="F64" i="13"/>
  <c r="E64" i="13"/>
  <c r="D64" i="13"/>
  <c r="G63" i="13"/>
  <c r="F63" i="13"/>
  <c r="E63" i="13"/>
  <c r="D63" i="13"/>
  <c r="H63" i="13" s="1"/>
  <c r="G62" i="13"/>
  <c r="F62" i="13"/>
  <c r="E62" i="13"/>
  <c r="D62" i="13"/>
  <c r="H62" i="13" s="1"/>
  <c r="H61" i="13"/>
  <c r="G61" i="13"/>
  <c r="F61" i="13"/>
  <c r="E61" i="13"/>
  <c r="D61" i="13"/>
  <c r="G60" i="13"/>
  <c r="F60" i="13"/>
  <c r="E60" i="13"/>
  <c r="D60" i="13"/>
  <c r="H60" i="13" s="1"/>
  <c r="H59" i="13"/>
  <c r="G59" i="13"/>
  <c r="F59" i="13"/>
  <c r="E59" i="13"/>
  <c r="D59" i="13"/>
  <c r="H58" i="13"/>
  <c r="G58" i="13"/>
  <c r="F58" i="13"/>
  <c r="E58" i="13"/>
  <c r="D58" i="13"/>
  <c r="G57" i="13"/>
  <c r="F57" i="13"/>
  <c r="E57" i="13"/>
  <c r="D57" i="13"/>
  <c r="H57" i="13" s="1"/>
  <c r="H56" i="13"/>
  <c r="G56" i="13"/>
  <c r="F56" i="13"/>
  <c r="E56" i="13"/>
  <c r="D56" i="13"/>
  <c r="G55" i="13"/>
  <c r="F55" i="13"/>
  <c r="E55" i="13"/>
  <c r="D55" i="13"/>
  <c r="H55" i="13" s="1"/>
  <c r="H54" i="13"/>
  <c r="G54" i="13"/>
  <c r="F54" i="13"/>
  <c r="E54" i="13"/>
  <c r="D54" i="13"/>
  <c r="H53" i="13"/>
  <c r="G53" i="13"/>
  <c r="F53" i="13"/>
  <c r="E53" i="13"/>
  <c r="D53" i="13"/>
  <c r="G52" i="13"/>
  <c r="F52" i="13"/>
  <c r="E52" i="13"/>
  <c r="D52" i="13"/>
  <c r="H52" i="13" s="1"/>
  <c r="H51" i="13"/>
  <c r="G51" i="13"/>
  <c r="F51" i="13"/>
  <c r="E51" i="13"/>
  <c r="D51" i="13"/>
  <c r="G50" i="13"/>
  <c r="F50" i="13"/>
  <c r="E50" i="13"/>
  <c r="D50" i="13"/>
  <c r="H50" i="13" s="1"/>
  <c r="G49" i="13"/>
  <c r="F49" i="13"/>
  <c r="E49" i="13"/>
  <c r="D49" i="13"/>
  <c r="H49" i="13" s="1"/>
  <c r="G48" i="13"/>
  <c r="F48" i="13"/>
  <c r="E48" i="13"/>
  <c r="D48" i="13"/>
  <c r="H48" i="13" s="1"/>
  <c r="G47" i="13"/>
  <c r="F47" i="13"/>
  <c r="E47" i="13"/>
  <c r="D47" i="13"/>
  <c r="H47" i="13" s="1"/>
  <c r="H46" i="13"/>
  <c r="G46" i="13"/>
  <c r="F46" i="13"/>
  <c r="E46" i="13"/>
  <c r="D46" i="13"/>
  <c r="H45" i="13"/>
  <c r="G45" i="13"/>
  <c r="F45" i="13"/>
  <c r="E45" i="13"/>
  <c r="D45" i="13"/>
  <c r="H44" i="13"/>
  <c r="G44" i="13"/>
  <c r="F44" i="13"/>
  <c r="E44" i="13"/>
  <c r="D44" i="13"/>
  <c r="H43" i="13"/>
  <c r="G43" i="13"/>
  <c r="F43" i="13"/>
  <c r="E43" i="13"/>
  <c r="D43" i="13"/>
  <c r="G42" i="13"/>
  <c r="F42" i="13"/>
  <c r="E42" i="13"/>
  <c r="D42" i="13"/>
  <c r="H42" i="13" s="1"/>
  <c r="G41" i="13"/>
  <c r="F41" i="13"/>
  <c r="E41" i="13"/>
  <c r="D41" i="13"/>
  <c r="H41" i="13" s="1"/>
  <c r="G40" i="13"/>
  <c r="F40" i="13"/>
  <c r="E40" i="13"/>
  <c r="D40" i="13"/>
  <c r="H40" i="13" s="1"/>
  <c r="H39" i="13"/>
  <c r="G39" i="13"/>
  <c r="F39" i="13"/>
  <c r="E39" i="13"/>
  <c r="D39" i="13"/>
  <c r="G38" i="13"/>
  <c r="F38" i="13"/>
  <c r="E38" i="13"/>
  <c r="D38" i="13"/>
  <c r="H38" i="13" s="1"/>
  <c r="H37" i="13"/>
  <c r="G37" i="13"/>
  <c r="F37" i="13"/>
  <c r="E37" i="13"/>
  <c r="D37" i="13"/>
  <c r="H36" i="13"/>
  <c r="G36" i="13"/>
  <c r="F36" i="13"/>
  <c r="E36" i="13"/>
  <c r="D36" i="13"/>
  <c r="G35" i="13"/>
  <c r="F35" i="13"/>
  <c r="E35" i="13"/>
  <c r="D35" i="13"/>
  <c r="H35" i="13" s="1"/>
  <c r="H34" i="13"/>
  <c r="G34" i="13"/>
  <c r="F34" i="13"/>
  <c r="E34" i="13"/>
  <c r="D34" i="13"/>
  <c r="G33" i="13"/>
  <c r="F33" i="13"/>
  <c r="E33" i="13"/>
  <c r="D33" i="13"/>
  <c r="H33" i="13" s="1"/>
  <c r="G32" i="13"/>
  <c r="F32" i="13"/>
  <c r="E32" i="13"/>
  <c r="D32" i="13"/>
  <c r="H32" i="13" s="1"/>
  <c r="H31" i="13"/>
  <c r="G31" i="13"/>
  <c r="F31" i="13"/>
  <c r="E31" i="13"/>
  <c r="D31" i="13"/>
  <c r="G30" i="13"/>
  <c r="F30" i="13"/>
  <c r="E30" i="13"/>
  <c r="D30" i="13"/>
  <c r="H30" i="13" s="1"/>
  <c r="H29" i="13"/>
  <c r="G29" i="13"/>
  <c r="F29" i="13"/>
  <c r="E29" i="13"/>
  <c r="D29" i="13"/>
  <c r="H28" i="13"/>
  <c r="G28" i="13"/>
  <c r="F28" i="13"/>
  <c r="E28" i="13"/>
  <c r="D28" i="13"/>
  <c r="G27" i="13"/>
  <c r="F27" i="13"/>
  <c r="E27" i="13"/>
  <c r="D27" i="13"/>
  <c r="H27" i="13" s="1"/>
  <c r="G26" i="13"/>
  <c r="F26" i="13"/>
  <c r="E26" i="13"/>
  <c r="D26" i="13"/>
  <c r="H26" i="13" s="1"/>
  <c r="G25" i="13"/>
  <c r="F25" i="13"/>
  <c r="E25" i="13"/>
  <c r="D25" i="13"/>
  <c r="H25" i="13" s="1"/>
  <c r="G24" i="13"/>
  <c r="F24" i="13"/>
  <c r="E24" i="13"/>
  <c r="D24" i="13"/>
  <c r="H24" i="13" s="1"/>
  <c r="H23" i="13"/>
  <c r="G23" i="13"/>
  <c r="F23" i="13"/>
  <c r="E23" i="13"/>
  <c r="D23" i="13"/>
  <c r="G22" i="13"/>
  <c r="F22" i="13"/>
  <c r="E22" i="13"/>
  <c r="D22" i="13"/>
  <c r="H22" i="13" s="1"/>
  <c r="H21" i="13"/>
  <c r="G21" i="13"/>
  <c r="F21" i="13"/>
  <c r="E21" i="13"/>
  <c r="D21" i="13"/>
  <c r="H20" i="13"/>
  <c r="G20" i="13"/>
  <c r="F20" i="13"/>
  <c r="E20" i="13"/>
  <c r="D20" i="13"/>
  <c r="G19" i="13"/>
  <c r="F19" i="13"/>
  <c r="E19" i="13"/>
  <c r="D19" i="13"/>
  <c r="H19" i="13" s="1"/>
  <c r="H18" i="13"/>
  <c r="G18" i="13"/>
  <c r="F18" i="13"/>
  <c r="E18" i="13"/>
  <c r="D18" i="13"/>
  <c r="G17" i="13"/>
  <c r="F17" i="13"/>
  <c r="E17" i="13"/>
  <c r="D17" i="13"/>
  <c r="H17" i="13" s="1"/>
  <c r="G16" i="13"/>
  <c r="F16" i="13"/>
  <c r="E16" i="13"/>
  <c r="D16" i="13"/>
  <c r="H16" i="13" s="1"/>
  <c r="H15" i="13"/>
  <c r="G15" i="13"/>
  <c r="F15" i="13"/>
  <c r="E15" i="13"/>
  <c r="D15" i="13"/>
  <c r="G14" i="13"/>
  <c r="F14" i="13"/>
  <c r="E14" i="13"/>
  <c r="D14" i="13"/>
  <c r="H14" i="13" s="1"/>
  <c r="H13" i="13"/>
  <c r="G13" i="13"/>
  <c r="F13" i="13"/>
  <c r="E13" i="13"/>
  <c r="D13" i="13"/>
  <c r="G12" i="13"/>
  <c r="F12" i="13"/>
  <c r="E12" i="13"/>
  <c r="D12" i="13"/>
  <c r="H12" i="13" s="1"/>
  <c r="G11" i="13"/>
  <c r="F11" i="13"/>
  <c r="E11" i="13"/>
  <c r="D11" i="13"/>
  <c r="H11" i="13" s="1"/>
  <c r="H10" i="13"/>
  <c r="G10" i="13"/>
  <c r="F10" i="13"/>
  <c r="E10" i="13"/>
  <c r="D10" i="13"/>
  <c r="G9" i="13"/>
  <c r="F9" i="13"/>
  <c r="E9" i="13"/>
  <c r="D9" i="13"/>
  <c r="H9" i="13" s="1"/>
  <c r="H8" i="13"/>
  <c r="G8" i="13"/>
  <c r="F8" i="13"/>
  <c r="E8" i="13"/>
  <c r="D8" i="13"/>
  <c r="G7" i="13"/>
  <c r="F7" i="13"/>
  <c r="E7" i="13"/>
  <c r="D7" i="13"/>
  <c r="H7" i="13" s="1"/>
  <c r="G6" i="13"/>
  <c r="F6" i="13"/>
  <c r="E6" i="13"/>
  <c r="D6" i="13"/>
  <c r="H5" i="13"/>
  <c r="G5" i="13"/>
  <c r="G65" i="13" s="1"/>
  <c r="F5" i="13"/>
  <c r="E5" i="13"/>
  <c r="D5" i="13"/>
  <c r="B57" i="12"/>
  <c r="C56" i="12"/>
  <c r="B56" i="12"/>
  <c r="C45" i="12"/>
  <c r="B45" i="12"/>
  <c r="G44" i="12"/>
  <c r="F44" i="12"/>
  <c r="E44" i="12"/>
  <c r="D44" i="12"/>
  <c r="H44" i="12" s="1"/>
  <c r="H43" i="12"/>
  <c r="G43" i="12"/>
  <c r="F43" i="12"/>
  <c r="E43" i="12"/>
  <c r="D43" i="12"/>
  <c r="G42" i="12"/>
  <c r="F42" i="12"/>
  <c r="E42" i="12"/>
  <c r="D42" i="12"/>
  <c r="H42" i="12" s="1"/>
  <c r="G41" i="12"/>
  <c r="F41" i="12"/>
  <c r="E41" i="12"/>
  <c r="D41" i="12"/>
  <c r="H41" i="12" s="1"/>
  <c r="H40" i="12"/>
  <c r="G40" i="12"/>
  <c r="F40" i="12"/>
  <c r="E40" i="12"/>
  <c r="D40" i="12"/>
  <c r="G39" i="12"/>
  <c r="F39" i="12"/>
  <c r="E39" i="12"/>
  <c r="D39" i="12"/>
  <c r="H39" i="12" s="1"/>
  <c r="H38" i="12"/>
  <c r="G38" i="12"/>
  <c r="F38" i="12"/>
  <c r="E38" i="12"/>
  <c r="D38" i="12"/>
  <c r="H37" i="12"/>
  <c r="G37" i="12"/>
  <c r="F37" i="12"/>
  <c r="E37" i="12"/>
  <c r="D37" i="12"/>
  <c r="G36" i="12"/>
  <c r="F36" i="12"/>
  <c r="E36" i="12"/>
  <c r="D36" i="12"/>
  <c r="H36" i="12" s="1"/>
  <c r="H35" i="12"/>
  <c r="G35" i="12"/>
  <c r="F35" i="12"/>
  <c r="E35" i="12"/>
  <c r="D35" i="12"/>
  <c r="G34" i="12"/>
  <c r="F34" i="12"/>
  <c r="E34" i="12"/>
  <c r="D34" i="12"/>
  <c r="H34" i="12" s="1"/>
  <c r="G33" i="12"/>
  <c r="F33" i="12"/>
  <c r="E33" i="12"/>
  <c r="D33" i="12"/>
  <c r="H33" i="12" s="1"/>
  <c r="G32" i="12"/>
  <c r="F32" i="12"/>
  <c r="E32" i="12"/>
  <c r="D32" i="12"/>
  <c r="H32" i="12" s="1"/>
  <c r="G31" i="12"/>
  <c r="F31" i="12"/>
  <c r="E31" i="12"/>
  <c r="D31" i="12"/>
  <c r="H31" i="12" s="1"/>
  <c r="H30" i="12"/>
  <c r="G30" i="12"/>
  <c r="F30" i="12"/>
  <c r="E30" i="12"/>
  <c r="D30" i="12"/>
  <c r="H29" i="12"/>
  <c r="G29" i="12"/>
  <c r="F29" i="12"/>
  <c r="E29" i="12"/>
  <c r="D29" i="12"/>
  <c r="H28" i="12"/>
  <c r="G28" i="12"/>
  <c r="F28" i="12"/>
  <c r="E28" i="12"/>
  <c r="D28" i="12"/>
  <c r="H27" i="12"/>
  <c r="G27" i="12"/>
  <c r="F27" i="12"/>
  <c r="E27" i="12"/>
  <c r="D27" i="12"/>
  <c r="G26" i="12"/>
  <c r="F26" i="12"/>
  <c r="E26" i="12"/>
  <c r="D26" i="12"/>
  <c r="H26" i="12" s="1"/>
  <c r="G25" i="12"/>
  <c r="F25" i="12"/>
  <c r="E25" i="12"/>
  <c r="D25" i="12"/>
  <c r="H25" i="12" s="1"/>
  <c r="G24" i="12"/>
  <c r="F24" i="12"/>
  <c r="E24" i="12"/>
  <c r="D24" i="12"/>
  <c r="H24" i="12" s="1"/>
  <c r="H23" i="12"/>
  <c r="G23" i="12"/>
  <c r="F23" i="12"/>
  <c r="E23" i="12"/>
  <c r="D23" i="12"/>
  <c r="G22" i="12"/>
  <c r="F22" i="12"/>
  <c r="E22" i="12"/>
  <c r="D22" i="12"/>
  <c r="H22" i="12" s="1"/>
  <c r="H21" i="12"/>
  <c r="G21" i="12"/>
  <c r="F21" i="12"/>
  <c r="E21" i="12"/>
  <c r="D21" i="12"/>
  <c r="H20" i="12"/>
  <c r="G20" i="12"/>
  <c r="F20" i="12"/>
  <c r="E20" i="12"/>
  <c r="D20" i="12"/>
  <c r="G19" i="12"/>
  <c r="F19" i="12"/>
  <c r="E19" i="12"/>
  <c r="D19" i="12"/>
  <c r="H19" i="12" s="1"/>
  <c r="H18" i="12"/>
  <c r="G18" i="12"/>
  <c r="F18" i="12"/>
  <c r="E18" i="12"/>
  <c r="D18" i="12"/>
  <c r="G17" i="12"/>
  <c r="F17" i="12"/>
  <c r="E17" i="12"/>
  <c r="D17" i="12"/>
  <c r="H17" i="12" s="1"/>
  <c r="H16" i="12"/>
  <c r="G16" i="12"/>
  <c r="F16" i="12"/>
  <c r="E16" i="12"/>
  <c r="D16" i="12"/>
  <c r="H15" i="12"/>
  <c r="G15" i="12"/>
  <c r="F15" i="12"/>
  <c r="E15" i="12"/>
  <c r="D15" i="12"/>
  <c r="G14" i="12"/>
  <c r="F14" i="12"/>
  <c r="E14" i="12"/>
  <c r="D14" i="12"/>
  <c r="H14" i="12" s="1"/>
  <c r="H13" i="12"/>
  <c r="G13" i="12"/>
  <c r="F13" i="12"/>
  <c r="E13" i="12"/>
  <c r="D13" i="12"/>
  <c r="G12" i="12"/>
  <c r="F12" i="12"/>
  <c r="E12" i="12"/>
  <c r="D12" i="12"/>
  <c r="H12" i="12" s="1"/>
  <c r="G11" i="12"/>
  <c r="F11" i="12"/>
  <c r="E11" i="12"/>
  <c r="D11" i="12"/>
  <c r="H11" i="12" s="1"/>
  <c r="H10" i="12"/>
  <c r="G10" i="12"/>
  <c r="F10" i="12"/>
  <c r="E10" i="12"/>
  <c r="D10" i="12"/>
  <c r="G9" i="12"/>
  <c r="F9" i="12"/>
  <c r="E9" i="12"/>
  <c r="D9" i="12"/>
  <c r="H9" i="12" s="1"/>
  <c r="H8" i="12"/>
  <c r="G8" i="12"/>
  <c r="F8" i="12"/>
  <c r="E8" i="12"/>
  <c r="D8" i="12"/>
  <c r="G7" i="12"/>
  <c r="F7" i="12"/>
  <c r="E7" i="12"/>
  <c r="E45" i="12" s="1"/>
  <c r="D7" i="12"/>
  <c r="H7" i="12" s="1"/>
  <c r="G6" i="12"/>
  <c r="F6" i="12"/>
  <c r="E6" i="12"/>
  <c r="D6" i="12"/>
  <c r="H6" i="12" s="1"/>
  <c r="H5" i="12"/>
  <c r="G5" i="12"/>
  <c r="F5" i="12"/>
  <c r="E5" i="12"/>
  <c r="D5" i="12"/>
  <c r="B109" i="11"/>
  <c r="C108" i="11"/>
  <c r="B108" i="11"/>
  <c r="C97" i="11"/>
  <c r="B97" i="11"/>
  <c r="G96" i="11"/>
  <c r="F96" i="11"/>
  <c r="E96" i="11"/>
  <c r="D96" i="11"/>
  <c r="H96" i="11" s="1"/>
  <c r="H95" i="11"/>
  <c r="G95" i="11"/>
  <c r="F95" i="11"/>
  <c r="E95" i="11"/>
  <c r="D95" i="11"/>
  <c r="G94" i="11"/>
  <c r="F94" i="11"/>
  <c r="E94" i="11"/>
  <c r="D94" i="11"/>
  <c r="H94" i="11" s="1"/>
  <c r="G93" i="11"/>
  <c r="F93" i="11"/>
  <c r="E93" i="11"/>
  <c r="D93" i="11"/>
  <c r="H93" i="11" s="1"/>
  <c r="G92" i="11"/>
  <c r="F92" i="11"/>
  <c r="E92" i="11"/>
  <c r="D92" i="11"/>
  <c r="H92" i="11" s="1"/>
  <c r="G91" i="11"/>
  <c r="F91" i="11"/>
  <c r="E91" i="11"/>
  <c r="D91" i="11"/>
  <c r="H91" i="11" s="1"/>
  <c r="H90" i="11"/>
  <c r="G90" i="11"/>
  <c r="F90" i="11"/>
  <c r="E90" i="11"/>
  <c r="D90" i="11"/>
  <c r="H89" i="11"/>
  <c r="G89" i="11"/>
  <c r="F89" i="11"/>
  <c r="E89" i="11"/>
  <c r="D89" i="11"/>
  <c r="H88" i="11"/>
  <c r="G88" i="11"/>
  <c r="F88" i="11"/>
  <c r="E88" i="11"/>
  <c r="D88" i="11"/>
  <c r="H87" i="11"/>
  <c r="G87" i="11"/>
  <c r="F87" i="11"/>
  <c r="E87" i="11"/>
  <c r="D87" i="11"/>
  <c r="G86" i="11"/>
  <c r="F86" i="11"/>
  <c r="E86" i="11"/>
  <c r="D86" i="11"/>
  <c r="H86" i="11" s="1"/>
  <c r="G85" i="11"/>
  <c r="F85" i="11"/>
  <c r="E85" i="11"/>
  <c r="D85" i="11"/>
  <c r="H85" i="11" s="1"/>
  <c r="G84" i="11"/>
  <c r="F84" i="11"/>
  <c r="E84" i="11"/>
  <c r="D84" i="11"/>
  <c r="H84" i="11" s="1"/>
  <c r="G83" i="11"/>
  <c r="F83" i="11"/>
  <c r="E83" i="11"/>
  <c r="D83" i="11"/>
  <c r="H83" i="11" s="1"/>
  <c r="H82" i="11"/>
  <c r="G82" i="11"/>
  <c r="F82" i="11"/>
  <c r="E82" i="11"/>
  <c r="D82" i="11"/>
  <c r="H81" i="11"/>
  <c r="G81" i="11"/>
  <c r="F81" i="11"/>
  <c r="E81" i="11"/>
  <c r="D81" i="11"/>
  <c r="H80" i="11"/>
  <c r="G80" i="11"/>
  <c r="F80" i="11"/>
  <c r="E80" i="11"/>
  <c r="D80" i="11"/>
  <c r="H79" i="11"/>
  <c r="G79" i="11"/>
  <c r="F79" i="11"/>
  <c r="E79" i="11"/>
  <c r="D79" i="11"/>
  <c r="G78" i="11"/>
  <c r="F78" i="11"/>
  <c r="E78" i="11"/>
  <c r="D78" i="11"/>
  <c r="H78" i="11" s="1"/>
  <c r="G77" i="11"/>
  <c r="F77" i="11"/>
  <c r="E77" i="11"/>
  <c r="D77" i="11"/>
  <c r="H77" i="11" s="1"/>
  <c r="G76" i="11"/>
  <c r="F76" i="11"/>
  <c r="E76" i="11"/>
  <c r="D76" i="11"/>
  <c r="H76" i="11" s="1"/>
  <c r="G75" i="11"/>
  <c r="F75" i="11"/>
  <c r="E75" i="11"/>
  <c r="D75" i="11"/>
  <c r="H75" i="11" s="1"/>
  <c r="H74" i="11"/>
  <c r="G74" i="11"/>
  <c r="F74" i="11"/>
  <c r="E74" i="11"/>
  <c r="D74" i="11"/>
  <c r="H73" i="11"/>
  <c r="G73" i="11"/>
  <c r="F73" i="11"/>
  <c r="E73" i="11"/>
  <c r="D73" i="11"/>
  <c r="H72" i="11"/>
  <c r="G72" i="11"/>
  <c r="F72" i="11"/>
  <c r="E72" i="11"/>
  <c r="D72" i="11"/>
  <c r="H71" i="11"/>
  <c r="G71" i="11"/>
  <c r="F71" i="11"/>
  <c r="E71" i="11"/>
  <c r="D71" i="11"/>
  <c r="G70" i="11"/>
  <c r="F70" i="11"/>
  <c r="E70" i="11"/>
  <c r="D70" i="11"/>
  <c r="H70" i="11" s="1"/>
  <c r="G69" i="11"/>
  <c r="F69" i="11"/>
  <c r="E69" i="11"/>
  <c r="D69" i="11"/>
  <c r="H69" i="11" s="1"/>
  <c r="G68" i="11"/>
  <c r="F68" i="11"/>
  <c r="E68" i="11"/>
  <c r="D68" i="11"/>
  <c r="H68" i="11" s="1"/>
  <c r="H67" i="11"/>
  <c r="G67" i="11"/>
  <c r="F67" i="11"/>
  <c r="E67" i="11"/>
  <c r="D67" i="11"/>
  <c r="H66" i="11"/>
  <c r="G66" i="11"/>
  <c r="F66" i="11"/>
  <c r="E66" i="11"/>
  <c r="D66" i="11"/>
  <c r="G65" i="11"/>
  <c r="F65" i="11"/>
  <c r="E65" i="11"/>
  <c r="D65" i="11"/>
  <c r="H65" i="11" s="1"/>
  <c r="H64" i="11"/>
  <c r="G64" i="11"/>
  <c r="F64" i="11"/>
  <c r="E64" i="11"/>
  <c r="D64" i="11"/>
  <c r="G63" i="11"/>
  <c r="F63" i="11"/>
  <c r="E63" i="11"/>
  <c r="D63" i="11"/>
  <c r="H63" i="11" s="1"/>
  <c r="G62" i="11"/>
  <c r="F62" i="11"/>
  <c r="E62" i="11"/>
  <c r="D62" i="11"/>
  <c r="H62" i="11" s="1"/>
  <c r="H61" i="11"/>
  <c r="G61" i="11"/>
  <c r="F61" i="11"/>
  <c r="E61" i="11"/>
  <c r="D61" i="11"/>
  <c r="G60" i="11"/>
  <c r="F60" i="11"/>
  <c r="E60" i="11"/>
  <c r="D60" i="11"/>
  <c r="H60" i="11" s="1"/>
  <c r="H59" i="11"/>
  <c r="G59" i="11"/>
  <c r="F59" i="11"/>
  <c r="E59" i="11"/>
  <c r="D59" i="11"/>
  <c r="G58" i="11"/>
  <c r="F58" i="11"/>
  <c r="E58" i="11"/>
  <c r="D58" i="11"/>
  <c r="H58" i="11" s="1"/>
  <c r="H57" i="11"/>
  <c r="G57" i="11"/>
  <c r="F57" i="11"/>
  <c r="E57" i="11"/>
  <c r="D57" i="11"/>
  <c r="H56" i="11"/>
  <c r="G56" i="11"/>
  <c r="F56" i="11"/>
  <c r="E56" i="11"/>
  <c r="D56" i="11"/>
  <c r="G55" i="11"/>
  <c r="F55" i="11"/>
  <c r="E55" i="11"/>
  <c r="D55" i="11"/>
  <c r="H55" i="11" s="1"/>
  <c r="H54" i="11"/>
  <c r="G54" i="11"/>
  <c r="F54" i="11"/>
  <c r="E54" i="11"/>
  <c r="D54" i="11"/>
  <c r="G53" i="11"/>
  <c r="F53" i="11"/>
  <c r="E53" i="11"/>
  <c r="D53" i="11"/>
  <c r="H53" i="11" s="1"/>
  <c r="G52" i="11"/>
  <c r="F52" i="11"/>
  <c r="E52" i="11"/>
  <c r="D52" i="11"/>
  <c r="H52" i="11" s="1"/>
  <c r="H51" i="11"/>
  <c r="G51" i="11"/>
  <c r="F51" i="11"/>
  <c r="E51" i="11"/>
  <c r="D51" i="11"/>
  <c r="H50" i="11"/>
  <c r="G50" i="11"/>
  <c r="F50" i="11"/>
  <c r="E50" i="11"/>
  <c r="D50" i="11"/>
  <c r="H49" i="11"/>
  <c r="G49" i="11"/>
  <c r="F49" i="11"/>
  <c r="E49" i="11"/>
  <c r="D49" i="11"/>
  <c r="H48" i="11"/>
  <c r="G48" i="11"/>
  <c r="F48" i="11"/>
  <c r="E48" i="11"/>
  <c r="D48" i="11"/>
  <c r="G47" i="11"/>
  <c r="F47" i="11"/>
  <c r="E47" i="11"/>
  <c r="D47" i="11"/>
  <c r="H47" i="11" s="1"/>
  <c r="G46" i="11"/>
  <c r="F46" i="11"/>
  <c r="E46" i="11"/>
  <c r="D46" i="11"/>
  <c r="H46" i="11" s="1"/>
  <c r="H45" i="11"/>
  <c r="G45" i="11"/>
  <c r="F45" i="11"/>
  <c r="E45" i="11"/>
  <c r="D45" i="11"/>
  <c r="G44" i="11"/>
  <c r="F44" i="11"/>
  <c r="E44" i="11"/>
  <c r="D44" i="11"/>
  <c r="H44" i="11" s="1"/>
  <c r="H43" i="11"/>
  <c r="G43" i="11"/>
  <c r="F43" i="11"/>
  <c r="E43" i="11"/>
  <c r="D43" i="11"/>
  <c r="H42" i="11"/>
  <c r="G42" i="11"/>
  <c r="F42" i="11"/>
  <c r="E42" i="11"/>
  <c r="D42" i="11"/>
  <c r="G41" i="11"/>
  <c r="F41" i="11"/>
  <c r="E41" i="11"/>
  <c r="D41" i="11"/>
  <c r="H41" i="11" s="1"/>
  <c r="H40" i="11"/>
  <c r="G40" i="11"/>
  <c r="F40" i="11"/>
  <c r="E40" i="11"/>
  <c r="D40" i="11"/>
  <c r="G39" i="11"/>
  <c r="F39" i="11"/>
  <c r="E39" i="11"/>
  <c r="D39" i="11"/>
  <c r="H39" i="11" s="1"/>
  <c r="G38" i="11"/>
  <c r="F38" i="11"/>
  <c r="E38" i="11"/>
  <c r="D38" i="11"/>
  <c r="H38" i="11" s="1"/>
  <c r="H37" i="11"/>
  <c r="G37" i="11"/>
  <c r="F37" i="11"/>
  <c r="E37" i="11"/>
  <c r="D37" i="11"/>
  <c r="G36" i="11"/>
  <c r="F36" i="11"/>
  <c r="E36" i="11"/>
  <c r="D36" i="11"/>
  <c r="H36" i="11" s="1"/>
  <c r="H35" i="11"/>
  <c r="G35" i="11"/>
  <c r="F35" i="11"/>
  <c r="E35" i="11"/>
  <c r="D35" i="11"/>
  <c r="G34" i="11"/>
  <c r="F34" i="11"/>
  <c r="E34" i="11"/>
  <c r="D34" i="11"/>
  <c r="H34" i="11" s="1"/>
  <c r="G33" i="11"/>
  <c r="F33" i="11"/>
  <c r="E33" i="11"/>
  <c r="D33" i="11"/>
  <c r="H33" i="11" s="1"/>
  <c r="H32" i="11"/>
  <c r="G32" i="11"/>
  <c r="F32" i="11"/>
  <c r="E32" i="11"/>
  <c r="D32" i="11"/>
  <c r="G31" i="11"/>
  <c r="F31" i="11"/>
  <c r="E31" i="11"/>
  <c r="D31" i="11"/>
  <c r="H31" i="11" s="1"/>
  <c r="H30" i="11"/>
  <c r="G30" i="11"/>
  <c r="F30" i="11"/>
  <c r="E30" i="11"/>
  <c r="D30" i="11"/>
  <c r="G29" i="11"/>
  <c r="F29" i="11"/>
  <c r="E29" i="11"/>
  <c r="D29" i="11"/>
  <c r="H29" i="11" s="1"/>
  <c r="G28" i="11"/>
  <c r="F28" i="11"/>
  <c r="E28" i="11"/>
  <c r="D28" i="11"/>
  <c r="H28" i="11" s="1"/>
  <c r="H27" i="11"/>
  <c r="G27" i="11"/>
  <c r="F27" i="11"/>
  <c r="E27" i="11"/>
  <c r="D27" i="11"/>
  <c r="G26" i="11"/>
  <c r="F26" i="11"/>
  <c r="E26" i="11"/>
  <c r="D26" i="11"/>
  <c r="H26" i="11" s="1"/>
  <c r="G25" i="11"/>
  <c r="F25" i="11"/>
  <c r="E25" i="11"/>
  <c r="D25" i="11"/>
  <c r="H25" i="11" s="1"/>
  <c r="H24" i="11"/>
  <c r="G24" i="11"/>
  <c r="F24" i="11"/>
  <c r="E24" i="11"/>
  <c r="D24" i="11"/>
  <c r="G23" i="11"/>
  <c r="F23" i="11"/>
  <c r="E23" i="11"/>
  <c r="D23" i="11"/>
  <c r="H23" i="11" s="1"/>
  <c r="H22" i="11"/>
  <c r="G22" i="11"/>
  <c r="F22" i="11"/>
  <c r="E22" i="11"/>
  <c r="D22" i="11"/>
  <c r="G21" i="11"/>
  <c r="F21" i="11"/>
  <c r="E21" i="11"/>
  <c r="D21" i="11"/>
  <c r="H21" i="11" s="1"/>
  <c r="G20" i="11"/>
  <c r="F20" i="11"/>
  <c r="E20" i="11"/>
  <c r="D20" i="11"/>
  <c r="H20" i="11" s="1"/>
  <c r="H19" i="11"/>
  <c r="G19" i="11"/>
  <c r="F19" i="11"/>
  <c r="E19" i="11"/>
  <c r="D19" i="11"/>
  <c r="G18" i="11"/>
  <c r="F18" i="11"/>
  <c r="E18" i="11"/>
  <c r="D18" i="11"/>
  <c r="H18" i="11" s="1"/>
  <c r="H17" i="11"/>
  <c r="G17" i="11"/>
  <c r="F17" i="11"/>
  <c r="E17" i="11"/>
  <c r="D17" i="11"/>
  <c r="H16" i="11"/>
  <c r="G16" i="11"/>
  <c r="F16" i="11"/>
  <c r="E16" i="11"/>
  <c r="D16" i="11"/>
  <c r="G15" i="11"/>
  <c r="F15" i="11"/>
  <c r="E15" i="11"/>
  <c r="D15" i="11"/>
  <c r="H15" i="11" s="1"/>
  <c r="H14" i="11"/>
  <c r="G14" i="11"/>
  <c r="F14" i="11"/>
  <c r="E14" i="11"/>
  <c r="D14" i="11"/>
  <c r="G13" i="11"/>
  <c r="F13" i="11"/>
  <c r="E13" i="11"/>
  <c r="D13" i="11"/>
  <c r="H13" i="11" s="1"/>
  <c r="G12" i="11"/>
  <c r="F12" i="11"/>
  <c r="E12" i="11"/>
  <c r="D12" i="11"/>
  <c r="H12" i="11" s="1"/>
  <c r="H11" i="11"/>
  <c r="G11" i="11"/>
  <c r="F11" i="11"/>
  <c r="E11" i="11"/>
  <c r="D11" i="11"/>
  <c r="H10" i="11"/>
  <c r="G10" i="11"/>
  <c r="F10" i="11"/>
  <c r="E10" i="11"/>
  <c r="D10" i="11"/>
  <c r="H9" i="11"/>
  <c r="G9" i="11"/>
  <c r="F9" i="11"/>
  <c r="E9" i="11"/>
  <c r="D9" i="11"/>
  <c r="H8" i="11"/>
  <c r="G8" i="11"/>
  <c r="F8" i="11"/>
  <c r="E8" i="11"/>
  <c r="D8" i="11"/>
  <c r="G7" i="11"/>
  <c r="F7" i="11"/>
  <c r="E7" i="11"/>
  <c r="D7" i="11"/>
  <c r="H7" i="11" s="1"/>
  <c r="G6" i="11"/>
  <c r="F6" i="11"/>
  <c r="E6" i="11"/>
  <c r="D6" i="11"/>
  <c r="H5" i="11"/>
  <c r="G5" i="11"/>
  <c r="F5" i="11"/>
  <c r="E5" i="11"/>
  <c r="D5" i="11"/>
  <c r="C114" i="10"/>
  <c r="B114" i="10"/>
  <c r="C103" i="10"/>
  <c r="F114" i="10" s="1"/>
  <c r="B103" i="10"/>
  <c r="B115" i="10" s="1"/>
  <c r="G102" i="10"/>
  <c r="F102" i="10"/>
  <c r="E102" i="10"/>
  <c r="D102" i="10"/>
  <c r="H102" i="10" s="1"/>
  <c r="H101" i="10"/>
  <c r="G101" i="10"/>
  <c r="F101" i="10"/>
  <c r="E101" i="10"/>
  <c r="D101" i="10"/>
  <c r="H100" i="10"/>
  <c r="G100" i="10"/>
  <c r="F100" i="10"/>
  <c r="E100" i="10"/>
  <c r="D100" i="10"/>
  <c r="G99" i="10"/>
  <c r="F99" i="10"/>
  <c r="E99" i="10"/>
  <c r="D99" i="10"/>
  <c r="H99" i="10" s="1"/>
  <c r="H98" i="10"/>
  <c r="G98" i="10"/>
  <c r="F98" i="10"/>
  <c r="E98" i="10"/>
  <c r="D98" i="10"/>
  <c r="G97" i="10"/>
  <c r="F97" i="10"/>
  <c r="E97" i="10"/>
  <c r="D97" i="10"/>
  <c r="H97" i="10" s="1"/>
  <c r="G96" i="10"/>
  <c r="F96" i="10"/>
  <c r="E96" i="10"/>
  <c r="D96" i="10"/>
  <c r="H96" i="10" s="1"/>
  <c r="H95" i="10"/>
  <c r="G95" i="10"/>
  <c r="F95" i="10"/>
  <c r="E95" i="10"/>
  <c r="D95" i="10"/>
  <c r="G94" i="10"/>
  <c r="F94" i="10"/>
  <c r="E94" i="10"/>
  <c r="D94" i="10"/>
  <c r="H94" i="10" s="1"/>
  <c r="H93" i="10"/>
  <c r="G93" i="10"/>
  <c r="F93" i="10"/>
  <c r="E93" i="10"/>
  <c r="D93" i="10"/>
  <c r="G92" i="10"/>
  <c r="F92" i="10"/>
  <c r="E92" i="10"/>
  <c r="D92" i="10"/>
  <c r="H92" i="10" s="1"/>
  <c r="G91" i="10"/>
  <c r="F91" i="10"/>
  <c r="E91" i="10"/>
  <c r="D91" i="10"/>
  <c r="H91" i="10" s="1"/>
  <c r="H90" i="10"/>
  <c r="G90" i="10"/>
  <c r="F90" i="10"/>
  <c r="E90" i="10"/>
  <c r="D90" i="10"/>
  <c r="G89" i="10"/>
  <c r="F89" i="10"/>
  <c r="E89" i="10"/>
  <c r="D89" i="10"/>
  <c r="H89" i="10" s="1"/>
  <c r="G88" i="10"/>
  <c r="F88" i="10"/>
  <c r="E88" i="10"/>
  <c r="D88" i="10"/>
  <c r="H88" i="10" s="1"/>
  <c r="G87" i="10"/>
  <c r="F87" i="10"/>
  <c r="E87" i="10"/>
  <c r="D87" i="10"/>
  <c r="H87" i="10" s="1"/>
  <c r="G86" i="10"/>
  <c r="F86" i="10"/>
  <c r="E86" i="10"/>
  <c r="D86" i="10"/>
  <c r="H86" i="10" s="1"/>
  <c r="H85" i="10"/>
  <c r="G85" i="10"/>
  <c r="F85" i="10"/>
  <c r="E85" i="10"/>
  <c r="D85" i="10"/>
  <c r="G84" i="10"/>
  <c r="F84" i="10"/>
  <c r="E84" i="10"/>
  <c r="D84" i="10"/>
  <c r="H84" i="10" s="1"/>
  <c r="G83" i="10"/>
  <c r="F83" i="10"/>
  <c r="E83" i="10"/>
  <c r="D83" i="10"/>
  <c r="H83" i="10" s="1"/>
  <c r="H82" i="10"/>
  <c r="G82" i="10"/>
  <c r="F82" i="10"/>
  <c r="E82" i="10"/>
  <c r="D82" i="10"/>
  <c r="G81" i="10"/>
  <c r="F81" i="10"/>
  <c r="E81" i="10"/>
  <c r="D81" i="10"/>
  <c r="H81" i="10" s="1"/>
  <c r="H80" i="10"/>
  <c r="G80" i="10"/>
  <c r="F80" i="10"/>
  <c r="E80" i="10"/>
  <c r="D80" i="10"/>
  <c r="G79" i="10"/>
  <c r="F79" i="10"/>
  <c r="E79" i="10"/>
  <c r="D79" i="10"/>
  <c r="H79" i="10" s="1"/>
  <c r="G78" i="10"/>
  <c r="F78" i="10"/>
  <c r="E78" i="10"/>
  <c r="D78" i="10"/>
  <c r="H78" i="10" s="1"/>
  <c r="H77" i="10"/>
  <c r="G77" i="10"/>
  <c r="F77" i="10"/>
  <c r="E77" i="10"/>
  <c r="D77" i="10"/>
  <c r="G76" i="10"/>
  <c r="F76" i="10"/>
  <c r="E76" i="10"/>
  <c r="D76" i="10"/>
  <c r="H76" i="10" s="1"/>
  <c r="H75" i="10"/>
  <c r="G75" i="10"/>
  <c r="F75" i="10"/>
  <c r="E75" i="10"/>
  <c r="D75" i="10"/>
  <c r="H74" i="10"/>
  <c r="G74" i="10"/>
  <c r="F74" i="10"/>
  <c r="E74" i="10"/>
  <c r="D74" i="10"/>
  <c r="G73" i="10"/>
  <c r="F73" i="10"/>
  <c r="E73" i="10"/>
  <c r="D73" i="10"/>
  <c r="H73" i="10" s="1"/>
  <c r="H72" i="10"/>
  <c r="G72" i="10"/>
  <c r="F72" i="10"/>
  <c r="E72" i="10"/>
  <c r="D72" i="10"/>
  <c r="G71" i="10"/>
  <c r="F71" i="10"/>
  <c r="E71" i="10"/>
  <c r="D71" i="10"/>
  <c r="H71" i="10" s="1"/>
  <c r="G70" i="10"/>
  <c r="F70" i="10"/>
  <c r="E70" i="10"/>
  <c r="D70" i="10"/>
  <c r="H70" i="10" s="1"/>
  <c r="H69" i="10"/>
  <c r="G69" i="10"/>
  <c r="F69" i="10"/>
  <c r="E69" i="10"/>
  <c r="D69" i="10"/>
  <c r="H68" i="10"/>
  <c r="G68" i="10"/>
  <c r="F68" i="10"/>
  <c r="E68" i="10"/>
  <c r="D68" i="10"/>
  <c r="H67" i="10"/>
  <c r="G67" i="10"/>
  <c r="F67" i="10"/>
  <c r="E67" i="10"/>
  <c r="D67" i="10"/>
  <c r="H66" i="10"/>
  <c r="G66" i="10"/>
  <c r="F66" i="10"/>
  <c r="E66" i="10"/>
  <c r="D66" i="10"/>
  <c r="G65" i="10"/>
  <c r="F65" i="10"/>
  <c r="E65" i="10"/>
  <c r="D65" i="10"/>
  <c r="H65" i="10" s="1"/>
  <c r="G64" i="10"/>
  <c r="F64" i="10"/>
  <c r="E64" i="10"/>
  <c r="D64" i="10"/>
  <c r="H64" i="10" s="1"/>
  <c r="H63" i="10"/>
  <c r="G63" i="10"/>
  <c r="F63" i="10"/>
  <c r="E63" i="10"/>
  <c r="D63" i="10"/>
  <c r="G62" i="10"/>
  <c r="F62" i="10"/>
  <c r="E62" i="10"/>
  <c r="D62" i="10"/>
  <c r="H62" i="10" s="1"/>
  <c r="H61" i="10"/>
  <c r="G61" i="10"/>
  <c r="F61" i="10"/>
  <c r="E61" i="10"/>
  <c r="D61" i="10"/>
  <c r="H60" i="10"/>
  <c r="G60" i="10"/>
  <c r="F60" i="10"/>
  <c r="E60" i="10"/>
  <c r="D60" i="10"/>
  <c r="G59" i="10"/>
  <c r="F59" i="10"/>
  <c r="E59" i="10"/>
  <c r="D59" i="10"/>
  <c r="H59" i="10" s="1"/>
  <c r="H58" i="10"/>
  <c r="G58" i="10"/>
  <c r="F58" i="10"/>
  <c r="E58" i="10"/>
  <c r="D58" i="10"/>
  <c r="G57" i="10"/>
  <c r="F57" i="10"/>
  <c r="E57" i="10"/>
  <c r="D57" i="10"/>
  <c r="H57" i="10" s="1"/>
  <c r="H56" i="10"/>
  <c r="G56" i="10"/>
  <c r="F56" i="10"/>
  <c r="E56" i="10"/>
  <c r="D56" i="10"/>
  <c r="H55" i="10"/>
  <c r="G55" i="10"/>
  <c r="F55" i="10"/>
  <c r="E55" i="10"/>
  <c r="D55" i="10"/>
  <c r="G54" i="10"/>
  <c r="F54" i="10"/>
  <c r="E54" i="10"/>
  <c r="D54" i="10"/>
  <c r="H54" i="10" s="1"/>
  <c r="H53" i="10"/>
  <c r="G53" i="10"/>
  <c r="F53" i="10"/>
  <c r="E53" i="10"/>
  <c r="D53" i="10"/>
  <c r="G52" i="10"/>
  <c r="F52" i="10"/>
  <c r="E52" i="10"/>
  <c r="D52" i="10"/>
  <c r="H52" i="10" s="1"/>
  <c r="H51" i="10"/>
  <c r="G51" i="10"/>
  <c r="F51" i="10"/>
  <c r="E51" i="10"/>
  <c r="D51" i="10"/>
  <c r="H50" i="10"/>
  <c r="G50" i="10"/>
  <c r="F50" i="10"/>
  <c r="E50" i="10"/>
  <c r="D50" i="10"/>
  <c r="G49" i="10"/>
  <c r="F49" i="10"/>
  <c r="E49" i="10"/>
  <c r="D49" i="10"/>
  <c r="H49" i="10" s="1"/>
  <c r="H48" i="10"/>
  <c r="G48" i="10"/>
  <c r="F48" i="10"/>
  <c r="E48" i="10"/>
  <c r="D48" i="10"/>
  <c r="G47" i="10"/>
  <c r="F47" i="10"/>
  <c r="E47" i="10"/>
  <c r="D47" i="10"/>
  <c r="H47" i="10" s="1"/>
  <c r="G46" i="10"/>
  <c r="F46" i="10"/>
  <c r="E46" i="10"/>
  <c r="D46" i="10"/>
  <c r="H46" i="10" s="1"/>
  <c r="H45" i="10"/>
  <c r="G45" i="10"/>
  <c r="F45" i="10"/>
  <c r="E45" i="10"/>
  <c r="D45" i="10"/>
  <c r="H44" i="10"/>
  <c r="G44" i="10"/>
  <c r="F44" i="10"/>
  <c r="E44" i="10"/>
  <c r="D44" i="10"/>
  <c r="H43" i="10"/>
  <c r="G43" i="10"/>
  <c r="F43" i="10"/>
  <c r="E43" i="10"/>
  <c r="D43" i="10"/>
  <c r="H42" i="10"/>
  <c r="G42" i="10"/>
  <c r="F42" i="10"/>
  <c r="E42" i="10"/>
  <c r="D42" i="10"/>
  <c r="G41" i="10"/>
  <c r="F41" i="10"/>
  <c r="E41" i="10"/>
  <c r="D41" i="10"/>
  <c r="H41" i="10" s="1"/>
  <c r="G40" i="10"/>
  <c r="F40" i="10"/>
  <c r="E40" i="10"/>
  <c r="D40" i="10"/>
  <c r="H40" i="10" s="1"/>
  <c r="H39" i="10"/>
  <c r="G39" i="10"/>
  <c r="F39" i="10"/>
  <c r="E39" i="10"/>
  <c r="D39" i="10"/>
  <c r="G38" i="10"/>
  <c r="F38" i="10"/>
  <c r="E38" i="10"/>
  <c r="D38" i="10"/>
  <c r="H38" i="10" s="1"/>
  <c r="H37" i="10"/>
  <c r="G37" i="10"/>
  <c r="F37" i="10"/>
  <c r="E37" i="10"/>
  <c r="D37" i="10"/>
  <c r="H36" i="10"/>
  <c r="G36" i="10"/>
  <c r="F36" i="10"/>
  <c r="E36" i="10"/>
  <c r="D36" i="10"/>
  <c r="G35" i="10"/>
  <c r="F35" i="10"/>
  <c r="E35" i="10"/>
  <c r="D35" i="10"/>
  <c r="H35" i="10" s="1"/>
  <c r="H34" i="10"/>
  <c r="G34" i="10"/>
  <c r="F34" i="10"/>
  <c r="E34" i="10"/>
  <c r="D34" i="10"/>
  <c r="G33" i="10"/>
  <c r="F33" i="10"/>
  <c r="E33" i="10"/>
  <c r="D33" i="10"/>
  <c r="H33" i="10" s="1"/>
  <c r="G32" i="10"/>
  <c r="F32" i="10"/>
  <c r="E32" i="10"/>
  <c r="D32" i="10"/>
  <c r="H32" i="10" s="1"/>
  <c r="H31" i="10"/>
  <c r="G31" i="10"/>
  <c r="F31" i="10"/>
  <c r="E31" i="10"/>
  <c r="D31" i="10"/>
  <c r="G30" i="10"/>
  <c r="F30" i="10"/>
  <c r="E30" i="10"/>
  <c r="D30" i="10"/>
  <c r="H30" i="10" s="1"/>
  <c r="H29" i="10"/>
  <c r="G29" i="10"/>
  <c r="F29" i="10"/>
  <c r="E29" i="10"/>
  <c r="D29" i="10"/>
  <c r="G28" i="10"/>
  <c r="F28" i="10"/>
  <c r="E28" i="10"/>
  <c r="D28" i="10"/>
  <c r="H28" i="10" s="1"/>
  <c r="G27" i="10"/>
  <c r="F27" i="10"/>
  <c r="E27" i="10"/>
  <c r="D27" i="10"/>
  <c r="H27" i="10" s="1"/>
  <c r="H26" i="10"/>
  <c r="G26" i="10"/>
  <c r="F26" i="10"/>
  <c r="E26" i="10"/>
  <c r="D26" i="10"/>
  <c r="G25" i="10"/>
  <c r="F25" i="10"/>
  <c r="E25" i="10"/>
  <c r="D25" i="10"/>
  <c r="H25" i="10" s="1"/>
  <c r="G24" i="10"/>
  <c r="F24" i="10"/>
  <c r="E24" i="10"/>
  <c r="D24" i="10"/>
  <c r="H24" i="10" s="1"/>
  <c r="G23" i="10"/>
  <c r="F23" i="10"/>
  <c r="E23" i="10"/>
  <c r="D23" i="10"/>
  <c r="H23" i="10" s="1"/>
  <c r="G22" i="10"/>
  <c r="F22" i="10"/>
  <c r="E22" i="10"/>
  <c r="D22" i="10"/>
  <c r="H22" i="10" s="1"/>
  <c r="H21" i="10"/>
  <c r="G21" i="10"/>
  <c r="F21" i="10"/>
  <c r="E21" i="10"/>
  <c r="D21" i="10"/>
  <c r="G20" i="10"/>
  <c r="F20" i="10"/>
  <c r="E20" i="10"/>
  <c r="D20" i="10"/>
  <c r="H20" i="10" s="1"/>
  <c r="G19" i="10"/>
  <c r="F19" i="10"/>
  <c r="E19" i="10"/>
  <c r="D19" i="10"/>
  <c r="H19" i="10" s="1"/>
  <c r="H18" i="10"/>
  <c r="G18" i="10"/>
  <c r="F18" i="10"/>
  <c r="E18" i="10"/>
  <c r="D18" i="10"/>
  <c r="G17" i="10"/>
  <c r="F17" i="10"/>
  <c r="E17" i="10"/>
  <c r="D17" i="10"/>
  <c r="H17" i="10" s="1"/>
  <c r="H16" i="10"/>
  <c r="G16" i="10"/>
  <c r="F16" i="10"/>
  <c r="E16" i="10"/>
  <c r="D16" i="10"/>
  <c r="G15" i="10"/>
  <c r="F15" i="10"/>
  <c r="E15" i="10"/>
  <c r="D15" i="10"/>
  <c r="H15" i="10" s="1"/>
  <c r="G14" i="10"/>
  <c r="F14" i="10"/>
  <c r="E14" i="10"/>
  <c r="D14" i="10"/>
  <c r="H14" i="10" s="1"/>
  <c r="H13" i="10"/>
  <c r="G13" i="10"/>
  <c r="F13" i="10"/>
  <c r="E13" i="10"/>
  <c r="D13" i="10"/>
  <c r="G12" i="10"/>
  <c r="F12" i="10"/>
  <c r="E12" i="10"/>
  <c r="D12" i="10"/>
  <c r="H12" i="10" s="1"/>
  <c r="H11" i="10"/>
  <c r="G11" i="10"/>
  <c r="F11" i="10"/>
  <c r="E11" i="10"/>
  <c r="D11" i="10"/>
  <c r="H10" i="10"/>
  <c r="G10" i="10"/>
  <c r="F10" i="10"/>
  <c r="E10" i="10"/>
  <c r="D10" i="10"/>
  <c r="G9" i="10"/>
  <c r="F9" i="10"/>
  <c r="E9" i="10"/>
  <c r="D9" i="10"/>
  <c r="H9" i="10" s="1"/>
  <c r="H8" i="10"/>
  <c r="G8" i="10"/>
  <c r="G103" i="10" s="1"/>
  <c r="F8" i="10"/>
  <c r="E8" i="10"/>
  <c r="D8" i="10"/>
  <c r="G7" i="10"/>
  <c r="F7" i="10"/>
  <c r="E7" i="10"/>
  <c r="D7" i="10"/>
  <c r="H7" i="10" s="1"/>
  <c r="G6" i="10"/>
  <c r="F6" i="10"/>
  <c r="E6" i="10"/>
  <c r="D6" i="10"/>
  <c r="H5" i="10"/>
  <c r="G5" i="10"/>
  <c r="F5" i="10"/>
  <c r="E5" i="10"/>
  <c r="D5" i="10"/>
  <c r="B67" i="9"/>
  <c r="F66" i="9"/>
  <c r="C66" i="9"/>
  <c r="B66" i="9"/>
  <c r="C55" i="9"/>
  <c r="B55" i="9"/>
  <c r="G54" i="9"/>
  <c r="F54" i="9"/>
  <c r="E54" i="9"/>
  <c r="D54" i="9"/>
  <c r="H54" i="9" s="1"/>
  <c r="G53" i="9"/>
  <c r="F53" i="9"/>
  <c r="E53" i="9"/>
  <c r="D53" i="9"/>
  <c r="H53" i="9" s="1"/>
  <c r="H52" i="9"/>
  <c r="G52" i="9"/>
  <c r="F52" i="9"/>
  <c r="E52" i="9"/>
  <c r="D52" i="9"/>
  <c r="G51" i="9"/>
  <c r="F51" i="9"/>
  <c r="E51" i="9"/>
  <c r="D51" i="9"/>
  <c r="H51" i="9" s="1"/>
  <c r="H50" i="9"/>
  <c r="G50" i="9"/>
  <c r="F50" i="9"/>
  <c r="E50" i="9"/>
  <c r="D50" i="9"/>
  <c r="G49" i="9"/>
  <c r="F49" i="9"/>
  <c r="E49" i="9"/>
  <c r="D49" i="9"/>
  <c r="H49" i="9" s="1"/>
  <c r="G48" i="9"/>
  <c r="F48" i="9"/>
  <c r="E48" i="9"/>
  <c r="D48" i="9"/>
  <c r="H48" i="9" s="1"/>
  <c r="H47" i="9"/>
  <c r="G47" i="9"/>
  <c r="F47" i="9"/>
  <c r="E47" i="9"/>
  <c r="D47" i="9"/>
  <c r="G46" i="9"/>
  <c r="F46" i="9"/>
  <c r="E46" i="9"/>
  <c r="D46" i="9"/>
  <c r="H46" i="9" s="1"/>
  <c r="H45" i="9"/>
  <c r="G45" i="9"/>
  <c r="F45" i="9"/>
  <c r="E45" i="9"/>
  <c r="D45" i="9"/>
  <c r="H44" i="9"/>
  <c r="G44" i="9"/>
  <c r="F44" i="9"/>
  <c r="E44" i="9"/>
  <c r="D44" i="9"/>
  <c r="G43" i="9"/>
  <c r="F43" i="9"/>
  <c r="E43" i="9"/>
  <c r="D43" i="9"/>
  <c r="H43" i="9" s="1"/>
  <c r="G42" i="9"/>
  <c r="F42" i="9"/>
  <c r="E42" i="9"/>
  <c r="D42" i="9"/>
  <c r="H42" i="9" s="1"/>
  <c r="G41" i="9"/>
  <c r="F41" i="9"/>
  <c r="E41" i="9"/>
  <c r="D41" i="9"/>
  <c r="H41" i="9" s="1"/>
  <c r="G40" i="9"/>
  <c r="F40" i="9"/>
  <c r="E40" i="9"/>
  <c r="D40" i="9"/>
  <c r="H40" i="9" s="1"/>
  <c r="H39" i="9"/>
  <c r="G39" i="9"/>
  <c r="F39" i="9"/>
  <c r="E39" i="9"/>
  <c r="D39" i="9"/>
  <c r="H38" i="9"/>
  <c r="G38" i="9"/>
  <c r="F38" i="9"/>
  <c r="E38" i="9"/>
  <c r="D38" i="9"/>
  <c r="G37" i="9"/>
  <c r="F37" i="9"/>
  <c r="E37" i="9"/>
  <c r="D37" i="9"/>
  <c r="H37" i="9" s="1"/>
  <c r="H36" i="9"/>
  <c r="G36" i="9"/>
  <c r="F36" i="9"/>
  <c r="E36" i="9"/>
  <c r="D36" i="9"/>
  <c r="G35" i="9"/>
  <c r="F35" i="9"/>
  <c r="E35" i="9"/>
  <c r="D35" i="9"/>
  <c r="H35" i="9" s="1"/>
  <c r="G34" i="9"/>
  <c r="F34" i="9"/>
  <c r="E34" i="9"/>
  <c r="D34" i="9"/>
  <c r="H34" i="9" s="1"/>
  <c r="H33" i="9"/>
  <c r="G33" i="9"/>
  <c r="F33" i="9"/>
  <c r="E33" i="9"/>
  <c r="D33" i="9"/>
  <c r="G32" i="9"/>
  <c r="F32" i="9"/>
  <c r="E32" i="9"/>
  <c r="D32" i="9"/>
  <c r="H32" i="9" s="1"/>
  <c r="H31" i="9"/>
  <c r="G31" i="9"/>
  <c r="F31" i="9"/>
  <c r="E31" i="9"/>
  <c r="D31" i="9"/>
  <c r="H30" i="9"/>
  <c r="G30" i="9"/>
  <c r="F30" i="9"/>
  <c r="E30" i="9"/>
  <c r="D30" i="9"/>
  <c r="G29" i="9"/>
  <c r="F29" i="9"/>
  <c r="E29" i="9"/>
  <c r="D29" i="9"/>
  <c r="H29" i="9" s="1"/>
  <c r="H28" i="9"/>
  <c r="G28" i="9"/>
  <c r="F28" i="9"/>
  <c r="E28" i="9"/>
  <c r="D28" i="9"/>
  <c r="G27" i="9"/>
  <c r="F27" i="9"/>
  <c r="E27" i="9"/>
  <c r="D27" i="9"/>
  <c r="H27" i="9" s="1"/>
  <c r="H26" i="9"/>
  <c r="G26" i="9"/>
  <c r="F26" i="9"/>
  <c r="E26" i="9"/>
  <c r="D26" i="9"/>
  <c r="H25" i="9"/>
  <c r="G25" i="9"/>
  <c r="F25" i="9"/>
  <c r="E25" i="9"/>
  <c r="D25" i="9"/>
  <c r="G24" i="9"/>
  <c r="F24" i="9"/>
  <c r="E24" i="9"/>
  <c r="D24" i="9"/>
  <c r="H24" i="9" s="1"/>
  <c r="H23" i="9"/>
  <c r="G23" i="9"/>
  <c r="F23" i="9"/>
  <c r="E23" i="9"/>
  <c r="D23" i="9"/>
  <c r="H22" i="9"/>
  <c r="G22" i="9"/>
  <c r="F22" i="9"/>
  <c r="E22" i="9"/>
  <c r="D22" i="9"/>
  <c r="H21" i="9"/>
  <c r="G21" i="9"/>
  <c r="F21" i="9"/>
  <c r="E21" i="9"/>
  <c r="D21" i="9"/>
  <c r="H20" i="9"/>
  <c r="G20" i="9"/>
  <c r="F20" i="9"/>
  <c r="E20" i="9"/>
  <c r="D20" i="9"/>
  <c r="G19" i="9"/>
  <c r="F19" i="9"/>
  <c r="E19" i="9"/>
  <c r="D19" i="9"/>
  <c r="H19" i="9" s="1"/>
  <c r="H18" i="9"/>
  <c r="G18" i="9"/>
  <c r="F18" i="9"/>
  <c r="E18" i="9"/>
  <c r="D18" i="9"/>
  <c r="H17" i="9"/>
  <c r="G17" i="9"/>
  <c r="F17" i="9"/>
  <c r="E17" i="9"/>
  <c r="D17" i="9"/>
  <c r="G16" i="9"/>
  <c r="F16" i="9"/>
  <c r="E16" i="9"/>
  <c r="D16" i="9"/>
  <c r="H16" i="9" s="1"/>
  <c r="H15" i="9"/>
  <c r="G15" i="9"/>
  <c r="F15" i="9"/>
  <c r="E15" i="9"/>
  <c r="D15" i="9"/>
  <c r="G14" i="9"/>
  <c r="F14" i="9"/>
  <c r="E14" i="9"/>
  <c r="D14" i="9"/>
  <c r="H14" i="9" s="1"/>
  <c r="H13" i="9"/>
  <c r="G13" i="9"/>
  <c r="F13" i="9"/>
  <c r="E13" i="9"/>
  <c r="D13" i="9"/>
  <c r="H12" i="9"/>
  <c r="G12" i="9"/>
  <c r="F12" i="9"/>
  <c r="E12" i="9"/>
  <c r="D12" i="9"/>
  <c r="G11" i="9"/>
  <c r="F11" i="9"/>
  <c r="E11" i="9"/>
  <c r="D11" i="9"/>
  <c r="H11" i="9" s="1"/>
  <c r="H10" i="9"/>
  <c r="G10" i="9"/>
  <c r="F10" i="9"/>
  <c r="E10" i="9"/>
  <c r="D10" i="9"/>
  <c r="G9" i="9"/>
  <c r="F9" i="9"/>
  <c r="E9" i="9"/>
  <c r="E55" i="9" s="1"/>
  <c r="D9" i="9"/>
  <c r="H9" i="9" s="1"/>
  <c r="H8" i="9"/>
  <c r="G8" i="9"/>
  <c r="F8" i="9"/>
  <c r="E8" i="9"/>
  <c r="D8" i="9"/>
  <c r="H7" i="9"/>
  <c r="G7" i="9"/>
  <c r="G55" i="9" s="1"/>
  <c r="F7" i="9"/>
  <c r="F55" i="9" s="1"/>
  <c r="D68" i="9" s="1"/>
  <c r="E7" i="9"/>
  <c r="D7" i="9"/>
  <c r="G6" i="9"/>
  <c r="F6" i="9"/>
  <c r="E6" i="9"/>
  <c r="D6" i="9"/>
  <c r="H5" i="9"/>
  <c r="G5" i="9"/>
  <c r="F5" i="9"/>
  <c r="E5" i="9"/>
  <c r="D5" i="9"/>
  <c r="B16" i="8"/>
  <c r="B77" i="7"/>
  <c r="F76" i="7"/>
  <c r="C76" i="7"/>
  <c r="B76" i="7"/>
  <c r="C65" i="7"/>
  <c r="B65" i="7"/>
  <c r="G64" i="7"/>
  <c r="F64" i="7"/>
  <c r="E64" i="7"/>
  <c r="D64" i="7"/>
  <c r="H64" i="7" s="1"/>
  <c r="H63" i="7"/>
  <c r="G63" i="7"/>
  <c r="F63" i="7"/>
  <c r="E63" i="7"/>
  <c r="D63" i="7"/>
  <c r="G62" i="7"/>
  <c r="F62" i="7"/>
  <c r="E62" i="7"/>
  <c r="D62" i="7"/>
  <c r="H62" i="7" s="1"/>
  <c r="G61" i="7"/>
  <c r="F61" i="7"/>
  <c r="E61" i="7"/>
  <c r="D61" i="7"/>
  <c r="H61" i="7" s="1"/>
  <c r="H60" i="7"/>
  <c r="G60" i="7"/>
  <c r="F60" i="7"/>
  <c r="E60" i="7"/>
  <c r="D60" i="7"/>
  <c r="G59" i="7"/>
  <c r="F59" i="7"/>
  <c r="E59" i="7"/>
  <c r="D59" i="7"/>
  <c r="H59" i="7" s="1"/>
  <c r="H58" i="7"/>
  <c r="G58" i="7"/>
  <c r="F58" i="7"/>
  <c r="E58" i="7"/>
  <c r="D58" i="7"/>
  <c r="H57" i="7"/>
  <c r="G57" i="7"/>
  <c r="F57" i="7"/>
  <c r="E57" i="7"/>
  <c r="D57" i="7"/>
  <c r="G56" i="7"/>
  <c r="F56" i="7"/>
  <c r="E56" i="7"/>
  <c r="D56" i="7"/>
  <c r="H56" i="7" s="1"/>
  <c r="G55" i="7"/>
  <c r="F55" i="7"/>
  <c r="E55" i="7"/>
  <c r="D55" i="7"/>
  <c r="H55" i="7" s="1"/>
  <c r="G54" i="7"/>
  <c r="F54" i="7"/>
  <c r="E54" i="7"/>
  <c r="D54" i="7"/>
  <c r="H54" i="7" s="1"/>
  <c r="G53" i="7"/>
  <c r="F53" i="7"/>
  <c r="E53" i="7"/>
  <c r="D53" i="7"/>
  <c r="H53" i="7" s="1"/>
  <c r="H52" i="7"/>
  <c r="G52" i="7"/>
  <c r="F52" i="7"/>
  <c r="E52" i="7"/>
  <c r="D52" i="7"/>
  <c r="H51" i="7"/>
  <c r="G51" i="7"/>
  <c r="F51" i="7"/>
  <c r="E51" i="7"/>
  <c r="D51" i="7"/>
  <c r="G50" i="7"/>
  <c r="F50" i="7"/>
  <c r="E50" i="7"/>
  <c r="D50" i="7"/>
  <c r="H50" i="7" s="1"/>
  <c r="H49" i="7"/>
  <c r="G49" i="7"/>
  <c r="F49" i="7"/>
  <c r="E49" i="7"/>
  <c r="D49" i="7"/>
  <c r="G48" i="7"/>
  <c r="F48" i="7"/>
  <c r="E48" i="7"/>
  <c r="D48" i="7"/>
  <c r="H48" i="7" s="1"/>
  <c r="G47" i="7"/>
  <c r="F47" i="7"/>
  <c r="E47" i="7"/>
  <c r="D47" i="7"/>
  <c r="H47" i="7" s="1"/>
  <c r="H46" i="7"/>
  <c r="G46" i="7"/>
  <c r="F46" i="7"/>
  <c r="E46" i="7"/>
  <c r="D46" i="7"/>
  <c r="G45" i="7"/>
  <c r="F45" i="7"/>
  <c r="E45" i="7"/>
  <c r="D45" i="7"/>
  <c r="H45" i="7" s="1"/>
  <c r="H44" i="7"/>
  <c r="G44" i="7"/>
  <c r="F44" i="7"/>
  <c r="E44" i="7"/>
  <c r="D44" i="7"/>
  <c r="H43" i="7"/>
  <c r="G43" i="7"/>
  <c r="F43" i="7"/>
  <c r="E43" i="7"/>
  <c r="D43" i="7"/>
  <c r="G42" i="7"/>
  <c r="F42" i="7"/>
  <c r="E42" i="7"/>
  <c r="D42" i="7"/>
  <c r="H42" i="7" s="1"/>
  <c r="H41" i="7"/>
  <c r="G41" i="7"/>
  <c r="F41" i="7"/>
  <c r="E41" i="7"/>
  <c r="D41" i="7"/>
  <c r="G40" i="7"/>
  <c r="F40" i="7"/>
  <c r="E40" i="7"/>
  <c r="D40" i="7"/>
  <c r="H40" i="7" s="1"/>
  <c r="H39" i="7"/>
  <c r="G39" i="7"/>
  <c r="F39" i="7"/>
  <c r="E39" i="7"/>
  <c r="D39" i="7"/>
  <c r="H38" i="7"/>
  <c r="G38" i="7"/>
  <c r="F38" i="7"/>
  <c r="E38" i="7"/>
  <c r="D38" i="7"/>
  <c r="G37" i="7"/>
  <c r="F37" i="7"/>
  <c r="E37" i="7"/>
  <c r="D37" i="7"/>
  <c r="H37" i="7" s="1"/>
  <c r="H36" i="7"/>
  <c r="G36" i="7"/>
  <c r="F36" i="7"/>
  <c r="E36" i="7"/>
  <c r="D36" i="7"/>
  <c r="G35" i="7"/>
  <c r="F35" i="7"/>
  <c r="E35" i="7"/>
  <c r="D35" i="7"/>
  <c r="H35" i="7" s="1"/>
  <c r="H34" i="7"/>
  <c r="G34" i="7"/>
  <c r="F34" i="7"/>
  <c r="E34" i="7"/>
  <c r="D34" i="7"/>
  <c r="H33" i="7"/>
  <c r="G33" i="7"/>
  <c r="F33" i="7"/>
  <c r="E33" i="7"/>
  <c r="D33" i="7"/>
  <c r="G32" i="7"/>
  <c r="F32" i="7"/>
  <c r="E32" i="7"/>
  <c r="D32" i="7"/>
  <c r="H32" i="7" s="1"/>
  <c r="H31" i="7"/>
  <c r="G31" i="7"/>
  <c r="F31" i="7"/>
  <c r="E31" i="7"/>
  <c r="D31" i="7"/>
  <c r="G30" i="7"/>
  <c r="F30" i="7"/>
  <c r="E30" i="7"/>
  <c r="D30" i="7"/>
  <c r="H30" i="7" s="1"/>
  <c r="G29" i="7"/>
  <c r="F29" i="7"/>
  <c r="E29" i="7"/>
  <c r="D29" i="7"/>
  <c r="H29" i="7" s="1"/>
  <c r="H28" i="7"/>
  <c r="G28" i="7"/>
  <c r="F28" i="7"/>
  <c r="E28" i="7"/>
  <c r="D28" i="7"/>
  <c r="G27" i="7"/>
  <c r="F27" i="7"/>
  <c r="E27" i="7"/>
  <c r="D27" i="7"/>
  <c r="H27" i="7" s="1"/>
  <c r="H26" i="7"/>
  <c r="G26" i="7"/>
  <c r="F26" i="7"/>
  <c r="E26" i="7"/>
  <c r="D26" i="7"/>
  <c r="H25" i="7"/>
  <c r="G25" i="7"/>
  <c r="F25" i="7"/>
  <c r="E25" i="7"/>
  <c r="D25" i="7"/>
  <c r="G24" i="7"/>
  <c r="F24" i="7"/>
  <c r="E24" i="7"/>
  <c r="D24" i="7"/>
  <c r="H24" i="7" s="1"/>
  <c r="G23" i="7"/>
  <c r="F23" i="7"/>
  <c r="E23" i="7"/>
  <c r="D23" i="7"/>
  <c r="H23" i="7" s="1"/>
  <c r="G22" i="7"/>
  <c r="F22" i="7"/>
  <c r="E22" i="7"/>
  <c r="D22" i="7"/>
  <c r="H22" i="7" s="1"/>
  <c r="G21" i="7"/>
  <c r="F21" i="7"/>
  <c r="E21" i="7"/>
  <c r="D21" i="7"/>
  <c r="H21" i="7" s="1"/>
  <c r="H20" i="7"/>
  <c r="G20" i="7"/>
  <c r="F20" i="7"/>
  <c r="E20" i="7"/>
  <c r="D20" i="7"/>
  <c r="H19" i="7"/>
  <c r="G19" i="7"/>
  <c r="F19" i="7"/>
  <c r="E19" i="7"/>
  <c r="D19" i="7"/>
  <c r="G18" i="7"/>
  <c r="F18" i="7"/>
  <c r="E18" i="7"/>
  <c r="D18" i="7"/>
  <c r="H18" i="7" s="1"/>
  <c r="H17" i="7"/>
  <c r="G17" i="7"/>
  <c r="F17" i="7"/>
  <c r="E17" i="7"/>
  <c r="D17" i="7"/>
  <c r="G16" i="7"/>
  <c r="F16" i="7"/>
  <c r="E16" i="7"/>
  <c r="D16" i="7"/>
  <c r="H16" i="7" s="1"/>
  <c r="G15" i="7"/>
  <c r="F15" i="7"/>
  <c r="E15" i="7"/>
  <c r="D15" i="7"/>
  <c r="H15" i="7" s="1"/>
  <c r="H14" i="7"/>
  <c r="G14" i="7"/>
  <c r="F14" i="7"/>
  <c r="E14" i="7"/>
  <c r="D14" i="7"/>
  <c r="G13" i="7"/>
  <c r="F13" i="7"/>
  <c r="E13" i="7"/>
  <c r="D13" i="7"/>
  <c r="H13" i="7" s="1"/>
  <c r="H12" i="7"/>
  <c r="G12" i="7"/>
  <c r="F12" i="7"/>
  <c r="E12" i="7"/>
  <c r="D12" i="7"/>
  <c r="H11" i="7"/>
  <c r="G11" i="7"/>
  <c r="F11" i="7"/>
  <c r="E11" i="7"/>
  <c r="D11" i="7"/>
  <c r="G10" i="7"/>
  <c r="F10" i="7"/>
  <c r="E10" i="7"/>
  <c r="D10" i="7"/>
  <c r="H10" i="7" s="1"/>
  <c r="H9" i="7"/>
  <c r="G9" i="7"/>
  <c r="F9" i="7"/>
  <c r="E9" i="7"/>
  <c r="D9" i="7"/>
  <c r="G8" i="7"/>
  <c r="F8" i="7"/>
  <c r="F65" i="7" s="1"/>
  <c r="D78" i="7" s="1"/>
  <c r="E8" i="7"/>
  <c r="E65" i="7" s="1"/>
  <c r="D8" i="7"/>
  <c r="H8" i="7" s="1"/>
  <c r="H7" i="7"/>
  <c r="G7" i="7"/>
  <c r="F7" i="7"/>
  <c r="E7" i="7"/>
  <c r="D7" i="7"/>
  <c r="H6" i="7"/>
  <c r="G6" i="7"/>
  <c r="G65" i="7" s="1"/>
  <c r="F6" i="7"/>
  <c r="E6" i="7"/>
  <c r="D6" i="7"/>
  <c r="G5" i="7"/>
  <c r="F5" i="7"/>
  <c r="E5" i="7"/>
  <c r="D5" i="7"/>
  <c r="H5" i="7" s="1"/>
  <c r="B57" i="6"/>
  <c r="C56" i="6"/>
  <c r="B56" i="6"/>
  <c r="C45" i="6"/>
  <c r="B45" i="6"/>
  <c r="H44" i="6"/>
  <c r="G44" i="6"/>
  <c r="F44" i="6"/>
  <c r="E44" i="6"/>
  <c r="D44" i="6"/>
  <c r="H43" i="6"/>
  <c r="G43" i="6"/>
  <c r="F43" i="6"/>
  <c r="E43" i="6"/>
  <c r="D43" i="6"/>
  <c r="G42" i="6"/>
  <c r="F42" i="6"/>
  <c r="E42" i="6"/>
  <c r="D42" i="6"/>
  <c r="H42" i="6" s="1"/>
  <c r="H41" i="6"/>
  <c r="G41" i="6"/>
  <c r="F41" i="6"/>
  <c r="E41" i="6"/>
  <c r="D41" i="6"/>
  <c r="G40" i="6"/>
  <c r="F40" i="6"/>
  <c r="E40" i="6"/>
  <c r="D40" i="6"/>
  <c r="H40" i="6" s="1"/>
  <c r="H39" i="6"/>
  <c r="G39" i="6"/>
  <c r="F39" i="6"/>
  <c r="E39" i="6"/>
  <c r="D39" i="6"/>
  <c r="H38" i="6"/>
  <c r="G38" i="6"/>
  <c r="F38" i="6"/>
  <c r="E38" i="6"/>
  <c r="D38" i="6"/>
  <c r="G37" i="6"/>
  <c r="F37" i="6"/>
  <c r="E37" i="6"/>
  <c r="D37" i="6"/>
  <c r="H37" i="6" s="1"/>
  <c r="H36" i="6"/>
  <c r="G36" i="6"/>
  <c r="F36" i="6"/>
  <c r="E36" i="6"/>
  <c r="D36" i="6"/>
  <c r="G35" i="6"/>
  <c r="F35" i="6"/>
  <c r="E35" i="6"/>
  <c r="D35" i="6"/>
  <c r="H35" i="6" s="1"/>
  <c r="H34" i="6"/>
  <c r="G34" i="6"/>
  <c r="F34" i="6"/>
  <c r="E34" i="6"/>
  <c r="D34" i="6"/>
  <c r="H33" i="6"/>
  <c r="G33" i="6"/>
  <c r="F33" i="6"/>
  <c r="E33" i="6"/>
  <c r="D33" i="6"/>
  <c r="G32" i="6"/>
  <c r="F32" i="6"/>
  <c r="E32" i="6"/>
  <c r="D32" i="6"/>
  <c r="H32" i="6" s="1"/>
  <c r="H31" i="6"/>
  <c r="G31" i="6"/>
  <c r="F31" i="6"/>
  <c r="E31" i="6"/>
  <c r="D31" i="6"/>
  <c r="G30" i="6"/>
  <c r="F30" i="6"/>
  <c r="E30" i="6"/>
  <c r="D30" i="6"/>
  <c r="H30" i="6" s="1"/>
  <c r="G29" i="6"/>
  <c r="F29" i="6"/>
  <c r="E29" i="6"/>
  <c r="D29" i="6"/>
  <c r="H29" i="6" s="1"/>
  <c r="H28" i="6"/>
  <c r="G28" i="6"/>
  <c r="F28" i="6"/>
  <c r="E28" i="6"/>
  <c r="D28" i="6"/>
  <c r="G27" i="6"/>
  <c r="F27" i="6"/>
  <c r="E27" i="6"/>
  <c r="D27" i="6"/>
  <c r="H27" i="6" s="1"/>
  <c r="H26" i="6"/>
  <c r="G26" i="6"/>
  <c r="F26" i="6"/>
  <c r="E26" i="6"/>
  <c r="D26" i="6"/>
  <c r="H25" i="6"/>
  <c r="G25" i="6"/>
  <c r="F25" i="6"/>
  <c r="E25" i="6"/>
  <c r="D25" i="6"/>
  <c r="G24" i="6"/>
  <c r="F24" i="6"/>
  <c r="E24" i="6"/>
  <c r="D24" i="6"/>
  <c r="H24" i="6" s="1"/>
  <c r="G23" i="6"/>
  <c r="F23" i="6"/>
  <c r="E23" i="6"/>
  <c r="D23" i="6"/>
  <c r="H23" i="6" s="1"/>
  <c r="G22" i="6"/>
  <c r="F22" i="6"/>
  <c r="E22" i="6"/>
  <c r="D22" i="6"/>
  <c r="H22" i="6" s="1"/>
  <c r="G21" i="6"/>
  <c r="F21" i="6"/>
  <c r="E21" i="6"/>
  <c r="D21" i="6"/>
  <c r="H21" i="6" s="1"/>
  <c r="H20" i="6"/>
  <c r="G20" i="6"/>
  <c r="F20" i="6"/>
  <c r="E20" i="6"/>
  <c r="D20" i="6"/>
  <c r="H19" i="6"/>
  <c r="G19" i="6"/>
  <c r="F19" i="6"/>
  <c r="E19" i="6"/>
  <c r="D19" i="6"/>
  <c r="G18" i="6"/>
  <c r="F18" i="6"/>
  <c r="E18" i="6"/>
  <c r="D18" i="6"/>
  <c r="H18" i="6" s="1"/>
  <c r="H17" i="6"/>
  <c r="G17" i="6"/>
  <c r="F17" i="6"/>
  <c r="E17" i="6"/>
  <c r="D17" i="6"/>
  <c r="G16" i="6"/>
  <c r="F16" i="6"/>
  <c r="E16" i="6"/>
  <c r="D16" i="6"/>
  <c r="H16" i="6" s="1"/>
  <c r="G15" i="6"/>
  <c r="F15" i="6"/>
  <c r="E15" i="6"/>
  <c r="D15" i="6"/>
  <c r="H15" i="6" s="1"/>
  <c r="H14" i="6"/>
  <c r="G14" i="6"/>
  <c r="F14" i="6"/>
  <c r="E14" i="6"/>
  <c r="D14" i="6"/>
  <c r="G13" i="6"/>
  <c r="F13" i="6"/>
  <c r="E13" i="6"/>
  <c r="D13" i="6"/>
  <c r="H13" i="6" s="1"/>
  <c r="H12" i="6"/>
  <c r="G12" i="6"/>
  <c r="F12" i="6"/>
  <c r="E12" i="6"/>
  <c r="D12" i="6"/>
  <c r="H11" i="6"/>
  <c r="G11" i="6"/>
  <c r="F11" i="6"/>
  <c r="E11" i="6"/>
  <c r="D11" i="6"/>
  <c r="G10" i="6"/>
  <c r="F10" i="6"/>
  <c r="E10" i="6"/>
  <c r="D10" i="6"/>
  <c r="H10" i="6" s="1"/>
  <c r="H9" i="6"/>
  <c r="G9" i="6"/>
  <c r="F9" i="6"/>
  <c r="E9" i="6"/>
  <c r="D9" i="6"/>
  <c r="G8" i="6"/>
  <c r="F8" i="6"/>
  <c r="E8" i="6"/>
  <c r="D8" i="6"/>
  <c r="H8" i="6" s="1"/>
  <c r="H7" i="6"/>
  <c r="G7" i="6"/>
  <c r="F7" i="6"/>
  <c r="E7" i="6"/>
  <c r="D7" i="6"/>
  <c r="H6" i="6"/>
  <c r="G6" i="6"/>
  <c r="F6" i="6"/>
  <c r="E6" i="6"/>
  <c r="D6" i="6"/>
  <c r="G5" i="6"/>
  <c r="F5" i="6"/>
  <c r="E5" i="6"/>
  <c r="D5" i="6"/>
  <c r="H5" i="6" s="1"/>
  <c r="B96" i="5"/>
  <c r="C85" i="5"/>
  <c r="B85" i="5"/>
  <c r="B97" i="5" s="1"/>
  <c r="H84" i="5"/>
  <c r="G84" i="5"/>
  <c r="F84" i="5"/>
  <c r="E84" i="5"/>
  <c r="D84" i="5"/>
  <c r="H83" i="5"/>
  <c r="G83" i="5"/>
  <c r="F83" i="5"/>
  <c r="E83" i="5"/>
  <c r="D83" i="5"/>
  <c r="G82" i="5"/>
  <c r="F82" i="5"/>
  <c r="E82" i="5"/>
  <c r="D82" i="5"/>
  <c r="H82" i="5" s="1"/>
  <c r="H81" i="5"/>
  <c r="G81" i="5"/>
  <c r="F81" i="5"/>
  <c r="E81" i="5"/>
  <c r="D81" i="5"/>
  <c r="G80" i="5"/>
  <c r="F80" i="5"/>
  <c r="E80" i="5"/>
  <c r="D80" i="5"/>
  <c r="H80" i="5" s="1"/>
  <c r="H79" i="5"/>
  <c r="G79" i="5"/>
  <c r="F79" i="5"/>
  <c r="E79" i="5"/>
  <c r="D79" i="5"/>
  <c r="H78" i="5"/>
  <c r="G78" i="5"/>
  <c r="F78" i="5"/>
  <c r="E78" i="5"/>
  <c r="D78" i="5"/>
  <c r="G77" i="5"/>
  <c r="F77" i="5"/>
  <c r="E77" i="5"/>
  <c r="D77" i="5"/>
  <c r="H77" i="5" s="1"/>
  <c r="H76" i="5"/>
  <c r="G76" i="5"/>
  <c r="F76" i="5"/>
  <c r="E76" i="5"/>
  <c r="D76" i="5"/>
  <c r="G75" i="5"/>
  <c r="F75" i="5"/>
  <c r="E75" i="5"/>
  <c r="D75" i="5"/>
  <c r="H75" i="5" s="1"/>
  <c r="H74" i="5"/>
  <c r="G74" i="5"/>
  <c r="F74" i="5"/>
  <c r="E74" i="5"/>
  <c r="D74" i="5"/>
  <c r="H73" i="5"/>
  <c r="G73" i="5"/>
  <c r="F73" i="5"/>
  <c r="E73" i="5"/>
  <c r="D73" i="5"/>
  <c r="G72" i="5"/>
  <c r="F72" i="5"/>
  <c r="E72" i="5"/>
  <c r="D72" i="5"/>
  <c r="H72" i="5" s="1"/>
  <c r="H71" i="5"/>
  <c r="G71" i="5"/>
  <c r="F71" i="5"/>
  <c r="E71" i="5"/>
  <c r="D71" i="5"/>
  <c r="G70" i="5"/>
  <c r="F70" i="5"/>
  <c r="E70" i="5"/>
  <c r="D70" i="5"/>
  <c r="H70" i="5" s="1"/>
  <c r="G69" i="5"/>
  <c r="F69" i="5"/>
  <c r="E69" i="5"/>
  <c r="D69" i="5"/>
  <c r="H69" i="5" s="1"/>
  <c r="H68" i="5"/>
  <c r="G68" i="5"/>
  <c r="F68" i="5"/>
  <c r="E68" i="5"/>
  <c r="D68" i="5"/>
  <c r="G67" i="5"/>
  <c r="F67" i="5"/>
  <c r="E67" i="5"/>
  <c r="D67" i="5"/>
  <c r="H67" i="5" s="1"/>
  <c r="H66" i="5"/>
  <c r="G66" i="5"/>
  <c r="F66" i="5"/>
  <c r="E66" i="5"/>
  <c r="D66" i="5"/>
  <c r="H65" i="5"/>
  <c r="G65" i="5"/>
  <c r="F65" i="5"/>
  <c r="E65" i="5"/>
  <c r="D65" i="5"/>
  <c r="G64" i="5"/>
  <c r="F64" i="5"/>
  <c r="E64" i="5"/>
  <c r="D64" i="5"/>
  <c r="H64" i="5" s="1"/>
  <c r="G63" i="5"/>
  <c r="F63" i="5"/>
  <c r="E63" i="5"/>
  <c r="D63" i="5"/>
  <c r="H63" i="5" s="1"/>
  <c r="G62" i="5"/>
  <c r="F62" i="5"/>
  <c r="E62" i="5"/>
  <c r="D62" i="5"/>
  <c r="H62" i="5" s="1"/>
  <c r="G61" i="5"/>
  <c r="F61" i="5"/>
  <c r="E61" i="5"/>
  <c r="D61" i="5"/>
  <c r="H61" i="5" s="1"/>
  <c r="H60" i="5"/>
  <c r="G60" i="5"/>
  <c r="F60" i="5"/>
  <c r="E60" i="5"/>
  <c r="D60" i="5"/>
  <c r="H59" i="5"/>
  <c r="G59" i="5"/>
  <c r="F59" i="5"/>
  <c r="E59" i="5"/>
  <c r="D59" i="5"/>
  <c r="G58" i="5"/>
  <c r="F58" i="5"/>
  <c r="E58" i="5"/>
  <c r="D58" i="5"/>
  <c r="H58" i="5" s="1"/>
  <c r="H57" i="5"/>
  <c r="G57" i="5"/>
  <c r="F57" i="5"/>
  <c r="E57" i="5"/>
  <c r="D57" i="5"/>
  <c r="G56" i="5"/>
  <c r="F56" i="5"/>
  <c r="E56" i="5"/>
  <c r="D56" i="5"/>
  <c r="H56" i="5" s="1"/>
  <c r="G55" i="5"/>
  <c r="F55" i="5"/>
  <c r="E55" i="5"/>
  <c r="D55" i="5"/>
  <c r="H55" i="5" s="1"/>
  <c r="H54" i="5"/>
  <c r="G54" i="5"/>
  <c r="F54" i="5"/>
  <c r="E54" i="5"/>
  <c r="D54" i="5"/>
  <c r="G53" i="5"/>
  <c r="F53" i="5"/>
  <c r="E53" i="5"/>
  <c r="D53" i="5"/>
  <c r="H53" i="5" s="1"/>
  <c r="H52" i="5"/>
  <c r="G52" i="5"/>
  <c r="F52" i="5"/>
  <c r="E52" i="5"/>
  <c r="D52" i="5"/>
  <c r="H51" i="5"/>
  <c r="G51" i="5"/>
  <c r="F51" i="5"/>
  <c r="E51" i="5"/>
  <c r="D51" i="5"/>
  <c r="G50" i="5"/>
  <c r="F50" i="5"/>
  <c r="E50" i="5"/>
  <c r="D50" i="5"/>
  <c r="H50" i="5" s="1"/>
  <c r="H49" i="5"/>
  <c r="G49" i="5"/>
  <c r="F49" i="5"/>
  <c r="E49" i="5"/>
  <c r="D49" i="5"/>
  <c r="G48" i="5"/>
  <c r="F48" i="5"/>
  <c r="E48" i="5"/>
  <c r="D48" i="5"/>
  <c r="H48" i="5" s="1"/>
  <c r="H47" i="5"/>
  <c r="G47" i="5"/>
  <c r="F47" i="5"/>
  <c r="E47" i="5"/>
  <c r="D47" i="5"/>
  <c r="H46" i="5"/>
  <c r="G46" i="5"/>
  <c r="F46" i="5"/>
  <c r="E46" i="5"/>
  <c r="D46" i="5"/>
  <c r="G45" i="5"/>
  <c r="F45" i="5"/>
  <c r="E45" i="5"/>
  <c r="D45" i="5"/>
  <c r="H45" i="5" s="1"/>
  <c r="H44" i="5"/>
  <c r="G44" i="5"/>
  <c r="F44" i="5"/>
  <c r="E44" i="5"/>
  <c r="D44" i="5"/>
  <c r="G43" i="5"/>
  <c r="F43" i="5"/>
  <c r="E43" i="5"/>
  <c r="D43" i="5"/>
  <c r="H43" i="5" s="1"/>
  <c r="H42" i="5"/>
  <c r="G42" i="5"/>
  <c r="F42" i="5"/>
  <c r="E42" i="5"/>
  <c r="D42" i="5"/>
  <c r="H41" i="5"/>
  <c r="G41" i="5"/>
  <c r="F41" i="5"/>
  <c r="E41" i="5"/>
  <c r="D41" i="5"/>
  <c r="G40" i="5"/>
  <c r="F40" i="5"/>
  <c r="E40" i="5"/>
  <c r="D40" i="5"/>
  <c r="H40" i="5" s="1"/>
  <c r="H39" i="5"/>
  <c r="G39" i="5"/>
  <c r="F39" i="5"/>
  <c r="E39" i="5"/>
  <c r="D39" i="5"/>
  <c r="G38" i="5"/>
  <c r="F38" i="5"/>
  <c r="E38" i="5"/>
  <c r="D38" i="5"/>
  <c r="H38" i="5" s="1"/>
  <c r="G37" i="5"/>
  <c r="F37" i="5"/>
  <c r="E37" i="5"/>
  <c r="D37" i="5"/>
  <c r="H37" i="5" s="1"/>
  <c r="H36" i="5"/>
  <c r="G36" i="5"/>
  <c r="F36" i="5"/>
  <c r="E36" i="5"/>
  <c r="D36" i="5"/>
  <c r="G35" i="5"/>
  <c r="F35" i="5"/>
  <c r="E35" i="5"/>
  <c r="D35" i="5"/>
  <c r="H35" i="5" s="1"/>
  <c r="H34" i="5"/>
  <c r="G34" i="5"/>
  <c r="F34" i="5"/>
  <c r="E34" i="5"/>
  <c r="D34" i="5"/>
  <c r="H33" i="5"/>
  <c r="G33" i="5"/>
  <c r="F33" i="5"/>
  <c r="E33" i="5"/>
  <c r="D33" i="5"/>
  <c r="G32" i="5"/>
  <c r="F32" i="5"/>
  <c r="E32" i="5"/>
  <c r="D32" i="5"/>
  <c r="H32" i="5" s="1"/>
  <c r="G31" i="5"/>
  <c r="F31" i="5"/>
  <c r="E31" i="5"/>
  <c r="D31" i="5"/>
  <c r="H31" i="5" s="1"/>
  <c r="G30" i="5"/>
  <c r="F30" i="5"/>
  <c r="E30" i="5"/>
  <c r="D30" i="5"/>
  <c r="H30" i="5" s="1"/>
  <c r="G29" i="5"/>
  <c r="F29" i="5"/>
  <c r="E29" i="5"/>
  <c r="D29" i="5"/>
  <c r="H29" i="5" s="1"/>
  <c r="H28" i="5"/>
  <c r="G28" i="5"/>
  <c r="F28" i="5"/>
  <c r="E28" i="5"/>
  <c r="D28" i="5"/>
  <c r="H27" i="5"/>
  <c r="G27" i="5"/>
  <c r="F27" i="5"/>
  <c r="E27" i="5"/>
  <c r="D27" i="5"/>
  <c r="G26" i="5"/>
  <c r="F26" i="5"/>
  <c r="E26" i="5"/>
  <c r="D26" i="5"/>
  <c r="H26" i="5" s="1"/>
  <c r="H25" i="5"/>
  <c r="G25" i="5"/>
  <c r="F25" i="5"/>
  <c r="E25" i="5"/>
  <c r="D25" i="5"/>
  <c r="G24" i="5"/>
  <c r="F24" i="5"/>
  <c r="E24" i="5"/>
  <c r="D24" i="5"/>
  <c r="H24" i="5" s="1"/>
  <c r="G23" i="5"/>
  <c r="F23" i="5"/>
  <c r="E23" i="5"/>
  <c r="D23" i="5"/>
  <c r="H23" i="5" s="1"/>
  <c r="H22" i="5"/>
  <c r="G22" i="5"/>
  <c r="F22" i="5"/>
  <c r="E22" i="5"/>
  <c r="D22" i="5"/>
  <c r="G21" i="5"/>
  <c r="F21" i="5"/>
  <c r="E21" i="5"/>
  <c r="D21" i="5"/>
  <c r="H21" i="5" s="1"/>
  <c r="H20" i="5"/>
  <c r="G20" i="5"/>
  <c r="F20" i="5"/>
  <c r="E20" i="5"/>
  <c r="D20" i="5"/>
  <c r="H19" i="5"/>
  <c r="G19" i="5"/>
  <c r="F19" i="5"/>
  <c r="E19" i="5"/>
  <c r="D19" i="5"/>
  <c r="G18" i="5"/>
  <c r="F18" i="5"/>
  <c r="E18" i="5"/>
  <c r="D18" i="5"/>
  <c r="H18" i="5" s="1"/>
  <c r="H17" i="5"/>
  <c r="G17" i="5"/>
  <c r="F17" i="5"/>
  <c r="E17" i="5"/>
  <c r="D17" i="5"/>
  <c r="G16" i="5"/>
  <c r="F16" i="5"/>
  <c r="E16" i="5"/>
  <c r="D16" i="5"/>
  <c r="H16" i="5" s="1"/>
  <c r="H15" i="5"/>
  <c r="G15" i="5"/>
  <c r="F15" i="5"/>
  <c r="E15" i="5"/>
  <c r="D15" i="5"/>
  <c r="H14" i="5"/>
  <c r="G14" i="5"/>
  <c r="F14" i="5"/>
  <c r="E14" i="5"/>
  <c r="D14" i="5"/>
  <c r="G13" i="5"/>
  <c r="F13" i="5"/>
  <c r="E13" i="5"/>
  <c r="D13" i="5"/>
  <c r="H13" i="5" s="1"/>
  <c r="H12" i="5"/>
  <c r="G12" i="5"/>
  <c r="F12" i="5"/>
  <c r="E12" i="5"/>
  <c r="D12" i="5"/>
  <c r="G11" i="5"/>
  <c r="F11" i="5"/>
  <c r="E11" i="5"/>
  <c r="D11" i="5"/>
  <c r="H11" i="5" s="1"/>
  <c r="H10" i="5"/>
  <c r="G10" i="5"/>
  <c r="F10" i="5"/>
  <c r="E10" i="5"/>
  <c r="D10" i="5"/>
  <c r="H9" i="5"/>
  <c r="G9" i="5"/>
  <c r="F9" i="5"/>
  <c r="E9" i="5"/>
  <c r="D9" i="5"/>
  <c r="G8" i="5"/>
  <c r="F8" i="5"/>
  <c r="E8" i="5"/>
  <c r="D8" i="5"/>
  <c r="H8" i="5" s="1"/>
  <c r="H7" i="5"/>
  <c r="G7" i="5"/>
  <c r="F7" i="5"/>
  <c r="E7" i="5"/>
  <c r="D7" i="5"/>
  <c r="G6" i="5"/>
  <c r="F6" i="5"/>
  <c r="E6" i="5"/>
  <c r="D6" i="5"/>
  <c r="H6" i="5" s="1"/>
  <c r="G5" i="5"/>
  <c r="F5" i="5"/>
  <c r="E5" i="5"/>
  <c r="D5" i="5"/>
  <c r="H5" i="5" s="1"/>
  <c r="C136" i="4"/>
  <c r="B136" i="4"/>
  <c r="C125" i="4"/>
  <c r="F136" i="4" s="1"/>
  <c r="B125" i="4"/>
  <c r="B137" i="4" s="1"/>
  <c r="H124" i="4"/>
  <c r="G124" i="4"/>
  <c r="F124" i="4"/>
  <c r="E124" i="4"/>
  <c r="D124" i="4"/>
  <c r="G123" i="4"/>
  <c r="F123" i="4"/>
  <c r="E123" i="4"/>
  <c r="D123" i="4"/>
  <c r="H123" i="4" s="1"/>
  <c r="G122" i="4"/>
  <c r="F122" i="4"/>
  <c r="E122" i="4"/>
  <c r="D122" i="4"/>
  <c r="H122" i="4" s="1"/>
  <c r="H121" i="4"/>
  <c r="G121" i="4"/>
  <c r="F121" i="4"/>
  <c r="E121" i="4"/>
  <c r="D121" i="4"/>
  <c r="G120" i="4"/>
  <c r="F120" i="4"/>
  <c r="E120" i="4"/>
  <c r="D120" i="4"/>
  <c r="H120" i="4" s="1"/>
  <c r="H119" i="4"/>
  <c r="G119" i="4"/>
  <c r="F119" i="4"/>
  <c r="E119" i="4"/>
  <c r="D119" i="4"/>
  <c r="G118" i="4"/>
  <c r="F118" i="4"/>
  <c r="E118" i="4"/>
  <c r="D118" i="4"/>
  <c r="H118" i="4" s="1"/>
  <c r="G117" i="4"/>
  <c r="F117" i="4"/>
  <c r="E117" i="4"/>
  <c r="D117" i="4"/>
  <c r="H117" i="4" s="1"/>
  <c r="H116" i="4"/>
  <c r="G116" i="4"/>
  <c r="F116" i="4"/>
  <c r="E116" i="4"/>
  <c r="D116" i="4"/>
  <c r="G115" i="4"/>
  <c r="F115" i="4"/>
  <c r="E115" i="4"/>
  <c r="D115" i="4"/>
  <c r="H115" i="4" s="1"/>
  <c r="H114" i="4"/>
  <c r="G114" i="4"/>
  <c r="F114" i="4"/>
  <c r="E114" i="4"/>
  <c r="D114" i="4"/>
  <c r="H113" i="4"/>
  <c r="G113" i="4"/>
  <c r="F113" i="4"/>
  <c r="E113" i="4"/>
  <c r="D113" i="4"/>
  <c r="G112" i="4"/>
  <c r="F112" i="4"/>
  <c r="E112" i="4"/>
  <c r="D112" i="4"/>
  <c r="H112" i="4" s="1"/>
  <c r="H111" i="4"/>
  <c r="G111" i="4"/>
  <c r="F111" i="4"/>
  <c r="E111" i="4"/>
  <c r="D111" i="4"/>
  <c r="G110" i="4"/>
  <c r="F110" i="4"/>
  <c r="E110" i="4"/>
  <c r="D110" i="4"/>
  <c r="H110" i="4" s="1"/>
  <c r="H109" i="4"/>
  <c r="G109" i="4"/>
  <c r="F109" i="4"/>
  <c r="E109" i="4"/>
  <c r="D109" i="4"/>
  <c r="H108" i="4"/>
  <c r="G108" i="4"/>
  <c r="F108" i="4"/>
  <c r="E108" i="4"/>
  <c r="D108" i="4"/>
  <c r="G107" i="4"/>
  <c r="F107" i="4"/>
  <c r="E107" i="4"/>
  <c r="D107" i="4"/>
  <c r="H107" i="4" s="1"/>
  <c r="H106" i="4"/>
  <c r="G106" i="4"/>
  <c r="F106" i="4"/>
  <c r="E106" i="4"/>
  <c r="D106" i="4"/>
  <c r="G105" i="4"/>
  <c r="F105" i="4"/>
  <c r="E105" i="4"/>
  <c r="D105" i="4"/>
  <c r="H105" i="4" s="1"/>
  <c r="G104" i="4"/>
  <c r="F104" i="4"/>
  <c r="E104" i="4"/>
  <c r="D104" i="4"/>
  <c r="H104" i="4" s="1"/>
  <c r="H103" i="4"/>
  <c r="G103" i="4"/>
  <c r="F103" i="4"/>
  <c r="E103" i="4"/>
  <c r="D103" i="4"/>
  <c r="G102" i="4"/>
  <c r="F102" i="4"/>
  <c r="E102" i="4"/>
  <c r="D102" i="4"/>
  <c r="H102" i="4" s="1"/>
  <c r="H101" i="4"/>
  <c r="G101" i="4"/>
  <c r="F101" i="4"/>
  <c r="E101" i="4"/>
  <c r="D101" i="4"/>
  <c r="H100" i="4"/>
  <c r="G100" i="4"/>
  <c r="F100" i="4"/>
  <c r="E100" i="4"/>
  <c r="D100" i="4"/>
  <c r="G99" i="4"/>
  <c r="F99" i="4"/>
  <c r="E99" i="4"/>
  <c r="D99" i="4"/>
  <c r="H99" i="4" s="1"/>
  <c r="H98" i="4"/>
  <c r="G98" i="4"/>
  <c r="F98" i="4"/>
  <c r="E98" i="4"/>
  <c r="D98" i="4"/>
  <c r="G97" i="4"/>
  <c r="F97" i="4"/>
  <c r="E97" i="4"/>
  <c r="D97" i="4"/>
  <c r="H97" i="4" s="1"/>
  <c r="G96" i="4"/>
  <c r="F96" i="4"/>
  <c r="E96" i="4"/>
  <c r="D96" i="4"/>
  <c r="H96" i="4" s="1"/>
  <c r="G95" i="4"/>
  <c r="F95" i="4"/>
  <c r="E95" i="4"/>
  <c r="D95" i="4"/>
  <c r="H95" i="4" s="1"/>
  <c r="G94" i="4"/>
  <c r="F94" i="4"/>
  <c r="E94" i="4"/>
  <c r="D94" i="4"/>
  <c r="H94" i="4" s="1"/>
  <c r="H93" i="4"/>
  <c r="G93" i="4"/>
  <c r="F93" i="4"/>
  <c r="E93" i="4"/>
  <c r="D93" i="4"/>
  <c r="H92" i="4"/>
  <c r="G92" i="4"/>
  <c r="F92" i="4"/>
  <c r="E92" i="4"/>
  <c r="D92" i="4"/>
  <c r="H91" i="4"/>
  <c r="G91" i="4"/>
  <c r="F91" i="4"/>
  <c r="E91" i="4"/>
  <c r="D91" i="4"/>
  <c r="H90" i="4"/>
  <c r="G90" i="4"/>
  <c r="F90" i="4"/>
  <c r="E90" i="4"/>
  <c r="D90" i="4"/>
  <c r="G89" i="4"/>
  <c r="F89" i="4"/>
  <c r="E89" i="4"/>
  <c r="D89" i="4"/>
  <c r="H89" i="4" s="1"/>
  <c r="G88" i="4"/>
  <c r="F88" i="4"/>
  <c r="E88" i="4"/>
  <c r="D88" i="4"/>
  <c r="H88" i="4" s="1"/>
  <c r="G87" i="4"/>
  <c r="F87" i="4"/>
  <c r="E87" i="4"/>
  <c r="D87" i="4"/>
  <c r="H87" i="4" s="1"/>
  <c r="H86" i="4"/>
  <c r="G86" i="4"/>
  <c r="F86" i="4"/>
  <c r="E86" i="4"/>
  <c r="D86" i="4"/>
  <c r="H85" i="4"/>
  <c r="G85" i="4"/>
  <c r="F85" i="4"/>
  <c r="E85" i="4"/>
  <c r="D85" i="4"/>
  <c r="G84" i="4"/>
  <c r="F84" i="4"/>
  <c r="E84" i="4"/>
  <c r="D84" i="4"/>
  <c r="H84" i="4" s="1"/>
  <c r="H83" i="4"/>
  <c r="G83" i="4"/>
  <c r="F83" i="4"/>
  <c r="E83" i="4"/>
  <c r="D83" i="4"/>
  <c r="G82" i="4"/>
  <c r="F82" i="4"/>
  <c r="E82" i="4"/>
  <c r="D82" i="4"/>
  <c r="H82" i="4" s="1"/>
  <c r="G81" i="4"/>
  <c r="F81" i="4"/>
  <c r="E81" i="4"/>
  <c r="D81" i="4"/>
  <c r="H81" i="4" s="1"/>
  <c r="H80" i="4"/>
  <c r="G80" i="4"/>
  <c r="F80" i="4"/>
  <c r="E80" i="4"/>
  <c r="D80" i="4"/>
  <c r="G79" i="4"/>
  <c r="F79" i="4"/>
  <c r="E79" i="4"/>
  <c r="D79" i="4"/>
  <c r="H79" i="4" s="1"/>
  <c r="H78" i="4"/>
  <c r="G78" i="4"/>
  <c r="F78" i="4"/>
  <c r="E78" i="4"/>
  <c r="D78" i="4"/>
  <c r="H77" i="4"/>
  <c r="G77" i="4"/>
  <c r="F77" i="4"/>
  <c r="E77" i="4"/>
  <c r="D77" i="4"/>
  <c r="G76" i="4"/>
  <c r="F76" i="4"/>
  <c r="E76" i="4"/>
  <c r="D76" i="4"/>
  <c r="H76" i="4" s="1"/>
  <c r="H75" i="4"/>
  <c r="G75" i="4"/>
  <c r="F75" i="4"/>
  <c r="E75" i="4"/>
  <c r="D75" i="4"/>
  <c r="G74" i="4"/>
  <c r="F74" i="4"/>
  <c r="E74" i="4"/>
  <c r="D74" i="4"/>
  <c r="H74" i="4" s="1"/>
  <c r="G73" i="4"/>
  <c r="F73" i="4"/>
  <c r="E73" i="4"/>
  <c r="D73" i="4"/>
  <c r="H73" i="4" s="1"/>
  <c r="H72" i="4"/>
  <c r="G72" i="4"/>
  <c r="F72" i="4"/>
  <c r="E72" i="4"/>
  <c r="D72" i="4"/>
  <c r="G71" i="4"/>
  <c r="F71" i="4"/>
  <c r="E71" i="4"/>
  <c r="D71" i="4"/>
  <c r="H71" i="4" s="1"/>
  <c r="H70" i="4"/>
  <c r="G70" i="4"/>
  <c r="F70" i="4"/>
  <c r="E70" i="4"/>
  <c r="D70" i="4"/>
  <c r="H69" i="4"/>
  <c r="G69" i="4"/>
  <c r="F69" i="4"/>
  <c r="E69" i="4"/>
  <c r="D69" i="4"/>
  <c r="G68" i="4"/>
  <c r="F68" i="4"/>
  <c r="E68" i="4"/>
  <c r="D68" i="4"/>
  <c r="H68" i="4" s="1"/>
  <c r="H67" i="4"/>
  <c r="G67" i="4"/>
  <c r="F67" i="4"/>
  <c r="E67" i="4"/>
  <c r="D67" i="4"/>
  <c r="G66" i="4"/>
  <c r="F66" i="4"/>
  <c r="E66" i="4"/>
  <c r="D66" i="4"/>
  <c r="H66" i="4" s="1"/>
  <c r="G65" i="4"/>
  <c r="F65" i="4"/>
  <c r="E65" i="4"/>
  <c r="D65" i="4"/>
  <c r="H65" i="4" s="1"/>
  <c r="H64" i="4"/>
  <c r="G64" i="4"/>
  <c r="F64" i="4"/>
  <c r="E64" i="4"/>
  <c r="D64" i="4"/>
  <c r="G63" i="4"/>
  <c r="F63" i="4"/>
  <c r="E63" i="4"/>
  <c r="D63" i="4"/>
  <c r="H63" i="4" s="1"/>
  <c r="H62" i="4"/>
  <c r="G62" i="4"/>
  <c r="F62" i="4"/>
  <c r="E62" i="4"/>
  <c r="D62" i="4"/>
  <c r="H61" i="4"/>
  <c r="G61" i="4"/>
  <c r="F61" i="4"/>
  <c r="E61" i="4"/>
  <c r="D61" i="4"/>
  <c r="G60" i="4"/>
  <c r="F60" i="4"/>
  <c r="E60" i="4"/>
  <c r="D60" i="4"/>
  <c r="H60" i="4" s="1"/>
  <c r="H59" i="4"/>
  <c r="G59" i="4"/>
  <c r="F59" i="4"/>
  <c r="E59" i="4"/>
  <c r="D59" i="4"/>
  <c r="G58" i="4"/>
  <c r="F58" i="4"/>
  <c r="E58" i="4"/>
  <c r="D58" i="4"/>
  <c r="H58" i="4" s="1"/>
  <c r="G57" i="4"/>
  <c r="F57" i="4"/>
  <c r="E57" i="4"/>
  <c r="D57" i="4"/>
  <c r="H57" i="4" s="1"/>
  <c r="H56" i="4"/>
  <c r="G56" i="4"/>
  <c r="F56" i="4"/>
  <c r="E56" i="4"/>
  <c r="D56" i="4"/>
  <c r="G55" i="4"/>
  <c r="F55" i="4"/>
  <c r="E55" i="4"/>
  <c r="D55" i="4"/>
  <c r="H55" i="4" s="1"/>
  <c r="H54" i="4"/>
  <c r="G54" i="4"/>
  <c r="F54" i="4"/>
  <c r="E54" i="4"/>
  <c r="D54" i="4"/>
  <c r="H53" i="4"/>
  <c r="G53" i="4"/>
  <c r="F53" i="4"/>
  <c r="E53" i="4"/>
  <c r="D53" i="4"/>
  <c r="G52" i="4"/>
  <c r="F52" i="4"/>
  <c r="E52" i="4"/>
  <c r="D52" i="4"/>
  <c r="H52" i="4" s="1"/>
  <c r="H51" i="4"/>
  <c r="G51" i="4"/>
  <c r="F51" i="4"/>
  <c r="E51" i="4"/>
  <c r="D51" i="4"/>
  <c r="G50" i="4"/>
  <c r="F50" i="4"/>
  <c r="E50" i="4"/>
  <c r="D50" i="4"/>
  <c r="H50" i="4" s="1"/>
  <c r="G49" i="4"/>
  <c r="F49" i="4"/>
  <c r="E49" i="4"/>
  <c r="D49" i="4"/>
  <c r="H49" i="4" s="1"/>
  <c r="H48" i="4"/>
  <c r="G48" i="4"/>
  <c r="F48" i="4"/>
  <c r="E48" i="4"/>
  <c r="D48" i="4"/>
  <c r="G47" i="4"/>
  <c r="F47" i="4"/>
  <c r="E47" i="4"/>
  <c r="D47" i="4"/>
  <c r="H47" i="4" s="1"/>
  <c r="H46" i="4"/>
  <c r="G46" i="4"/>
  <c r="F46" i="4"/>
  <c r="E46" i="4"/>
  <c r="D46" i="4"/>
  <c r="H45" i="4"/>
  <c r="G45" i="4"/>
  <c r="F45" i="4"/>
  <c r="E45" i="4"/>
  <c r="D45" i="4"/>
  <c r="G44" i="4"/>
  <c r="F44" i="4"/>
  <c r="E44" i="4"/>
  <c r="D44" i="4"/>
  <c r="H44" i="4" s="1"/>
  <c r="H43" i="4"/>
  <c r="G43" i="4"/>
  <c r="F43" i="4"/>
  <c r="E43" i="4"/>
  <c r="D43" i="4"/>
  <c r="G42" i="4"/>
  <c r="F42" i="4"/>
  <c r="E42" i="4"/>
  <c r="D42" i="4"/>
  <c r="H42" i="4" s="1"/>
  <c r="G41" i="4"/>
  <c r="F41" i="4"/>
  <c r="E41" i="4"/>
  <c r="D41" i="4"/>
  <c r="H41" i="4" s="1"/>
  <c r="H40" i="4"/>
  <c r="G40" i="4"/>
  <c r="F40" i="4"/>
  <c r="E40" i="4"/>
  <c r="D40" i="4"/>
  <c r="G39" i="4"/>
  <c r="F39" i="4"/>
  <c r="E39" i="4"/>
  <c r="D39" i="4"/>
  <c r="H39" i="4" s="1"/>
  <c r="H38" i="4"/>
  <c r="G38" i="4"/>
  <c r="F38" i="4"/>
  <c r="E38" i="4"/>
  <c r="D38" i="4"/>
  <c r="H37" i="4"/>
  <c r="G37" i="4"/>
  <c r="F37" i="4"/>
  <c r="E37" i="4"/>
  <c r="D37" i="4"/>
  <c r="G36" i="4"/>
  <c r="F36" i="4"/>
  <c r="E36" i="4"/>
  <c r="D36" i="4"/>
  <c r="H36" i="4" s="1"/>
  <c r="H35" i="4"/>
  <c r="G35" i="4"/>
  <c r="F35" i="4"/>
  <c r="E35" i="4"/>
  <c r="D35" i="4"/>
  <c r="G34" i="4"/>
  <c r="F34" i="4"/>
  <c r="E34" i="4"/>
  <c r="D34" i="4"/>
  <c r="H34" i="4" s="1"/>
  <c r="G33" i="4"/>
  <c r="F33" i="4"/>
  <c r="E33" i="4"/>
  <c r="D33" i="4"/>
  <c r="H33" i="4" s="1"/>
  <c r="H32" i="4"/>
  <c r="G32" i="4"/>
  <c r="F32" i="4"/>
  <c r="E32" i="4"/>
  <c r="D32" i="4"/>
  <c r="G31" i="4"/>
  <c r="F31" i="4"/>
  <c r="E31" i="4"/>
  <c r="D31" i="4"/>
  <c r="H31" i="4" s="1"/>
  <c r="H30" i="4"/>
  <c r="G30" i="4"/>
  <c r="F30" i="4"/>
  <c r="E30" i="4"/>
  <c r="D30" i="4"/>
  <c r="H29" i="4"/>
  <c r="G29" i="4"/>
  <c r="F29" i="4"/>
  <c r="E29" i="4"/>
  <c r="D29" i="4"/>
  <c r="G28" i="4"/>
  <c r="F28" i="4"/>
  <c r="E28" i="4"/>
  <c r="D28" i="4"/>
  <c r="H28" i="4" s="1"/>
  <c r="H27" i="4"/>
  <c r="G27" i="4"/>
  <c r="F27" i="4"/>
  <c r="E27" i="4"/>
  <c r="D27" i="4"/>
  <c r="G26" i="4"/>
  <c r="F26" i="4"/>
  <c r="E26" i="4"/>
  <c r="D26" i="4"/>
  <c r="H26" i="4" s="1"/>
  <c r="G25" i="4"/>
  <c r="F25" i="4"/>
  <c r="E25" i="4"/>
  <c r="D25" i="4"/>
  <c r="H25" i="4" s="1"/>
  <c r="H24" i="4"/>
  <c r="G24" i="4"/>
  <c r="F24" i="4"/>
  <c r="E24" i="4"/>
  <c r="D24" i="4"/>
  <c r="G23" i="4"/>
  <c r="F23" i="4"/>
  <c r="E23" i="4"/>
  <c r="D23" i="4"/>
  <c r="H23" i="4" s="1"/>
  <c r="H22" i="4"/>
  <c r="G22" i="4"/>
  <c r="F22" i="4"/>
  <c r="E22" i="4"/>
  <c r="D22" i="4"/>
  <c r="H21" i="4"/>
  <c r="G21" i="4"/>
  <c r="F21" i="4"/>
  <c r="E21" i="4"/>
  <c r="D21" i="4"/>
  <c r="G20" i="4"/>
  <c r="F20" i="4"/>
  <c r="E20" i="4"/>
  <c r="D20" i="4"/>
  <c r="H20" i="4" s="1"/>
  <c r="H19" i="4"/>
  <c r="G19" i="4"/>
  <c r="F19" i="4"/>
  <c r="E19" i="4"/>
  <c r="D19" i="4"/>
  <c r="G18" i="4"/>
  <c r="F18" i="4"/>
  <c r="E18" i="4"/>
  <c r="D18" i="4"/>
  <c r="H18" i="4" s="1"/>
  <c r="G17" i="4"/>
  <c r="F17" i="4"/>
  <c r="E17" i="4"/>
  <c r="D17" i="4"/>
  <c r="H17" i="4" s="1"/>
  <c r="H16" i="4"/>
  <c r="G16" i="4"/>
  <c r="F16" i="4"/>
  <c r="E16" i="4"/>
  <c r="D16" i="4"/>
  <c r="G15" i="4"/>
  <c r="F15" i="4"/>
  <c r="E15" i="4"/>
  <c r="D15" i="4"/>
  <c r="H15" i="4" s="1"/>
  <c r="H14" i="4"/>
  <c r="G14" i="4"/>
  <c r="F14" i="4"/>
  <c r="E14" i="4"/>
  <c r="D14" i="4"/>
  <c r="H13" i="4"/>
  <c r="G13" i="4"/>
  <c r="F13" i="4"/>
  <c r="E13" i="4"/>
  <c r="D13" i="4"/>
  <c r="G12" i="4"/>
  <c r="F12" i="4"/>
  <c r="E12" i="4"/>
  <c r="D12" i="4"/>
  <c r="H12" i="4" s="1"/>
  <c r="H11" i="4"/>
  <c r="G11" i="4"/>
  <c r="F11" i="4"/>
  <c r="E11" i="4"/>
  <c r="D11" i="4"/>
  <c r="G10" i="4"/>
  <c r="F10" i="4"/>
  <c r="E10" i="4"/>
  <c r="D10" i="4"/>
  <c r="H10" i="4" s="1"/>
  <c r="G9" i="4"/>
  <c r="F9" i="4"/>
  <c r="E9" i="4"/>
  <c r="D9" i="4"/>
  <c r="H9" i="4" s="1"/>
  <c r="H8" i="4"/>
  <c r="G8" i="4"/>
  <c r="F8" i="4"/>
  <c r="E8" i="4"/>
  <c r="D8" i="4"/>
  <c r="G7" i="4"/>
  <c r="F7" i="4"/>
  <c r="E7" i="4"/>
  <c r="D7" i="4"/>
  <c r="H7" i="4" s="1"/>
  <c r="H6" i="4"/>
  <c r="G6" i="4"/>
  <c r="F6" i="4"/>
  <c r="E6" i="4"/>
  <c r="D6" i="4"/>
  <c r="H5" i="4"/>
  <c r="G5" i="4"/>
  <c r="F5" i="4"/>
  <c r="E5" i="4"/>
  <c r="D5" i="4"/>
  <c r="B57" i="3"/>
  <c r="F56" i="3"/>
  <c r="C56" i="3"/>
  <c r="B56" i="3"/>
  <c r="C45" i="3"/>
  <c r="B45" i="3"/>
  <c r="G44" i="3"/>
  <c r="F44" i="3"/>
  <c r="E44" i="3"/>
  <c r="D44" i="3"/>
  <c r="H44" i="3" s="1"/>
  <c r="H43" i="3"/>
  <c r="G43" i="3"/>
  <c r="F43" i="3"/>
  <c r="E43" i="3"/>
  <c r="D43" i="3"/>
  <c r="G42" i="3"/>
  <c r="F42" i="3"/>
  <c r="E42" i="3"/>
  <c r="D42" i="3"/>
  <c r="H42" i="3" s="1"/>
  <c r="G41" i="3"/>
  <c r="F41" i="3"/>
  <c r="E41" i="3"/>
  <c r="D41" i="3"/>
  <c r="H41" i="3" s="1"/>
  <c r="H40" i="3"/>
  <c r="G40" i="3"/>
  <c r="F40" i="3"/>
  <c r="E40" i="3"/>
  <c r="D40" i="3"/>
  <c r="G39" i="3"/>
  <c r="F39" i="3"/>
  <c r="E39" i="3"/>
  <c r="D39" i="3"/>
  <c r="H39" i="3" s="1"/>
  <c r="H38" i="3"/>
  <c r="G38" i="3"/>
  <c r="F38" i="3"/>
  <c r="E38" i="3"/>
  <c r="D38" i="3"/>
  <c r="H37" i="3"/>
  <c r="G37" i="3"/>
  <c r="F37" i="3"/>
  <c r="E37" i="3"/>
  <c r="D37" i="3"/>
  <c r="G36" i="3"/>
  <c r="F36" i="3"/>
  <c r="E36" i="3"/>
  <c r="D36" i="3"/>
  <c r="H36" i="3" s="1"/>
  <c r="H35" i="3"/>
  <c r="G35" i="3"/>
  <c r="F35" i="3"/>
  <c r="E35" i="3"/>
  <c r="D35" i="3"/>
  <c r="G34" i="3"/>
  <c r="F34" i="3"/>
  <c r="E34" i="3"/>
  <c r="D34" i="3"/>
  <c r="H34" i="3" s="1"/>
  <c r="G33" i="3"/>
  <c r="F33" i="3"/>
  <c r="E33" i="3"/>
  <c r="D33" i="3"/>
  <c r="H33" i="3" s="1"/>
  <c r="H32" i="3"/>
  <c r="G32" i="3"/>
  <c r="F32" i="3"/>
  <c r="E32" i="3"/>
  <c r="D32" i="3"/>
  <c r="G31" i="3"/>
  <c r="F31" i="3"/>
  <c r="E31" i="3"/>
  <c r="D31" i="3"/>
  <c r="H31" i="3" s="1"/>
  <c r="H30" i="3"/>
  <c r="G30" i="3"/>
  <c r="F30" i="3"/>
  <c r="E30" i="3"/>
  <c r="D30" i="3"/>
  <c r="H29" i="3"/>
  <c r="G29" i="3"/>
  <c r="F29" i="3"/>
  <c r="E29" i="3"/>
  <c r="D29" i="3"/>
  <c r="G28" i="3"/>
  <c r="F28" i="3"/>
  <c r="E28" i="3"/>
  <c r="D28" i="3"/>
  <c r="H28" i="3" s="1"/>
  <c r="H27" i="3"/>
  <c r="G27" i="3"/>
  <c r="F27" i="3"/>
  <c r="E27" i="3"/>
  <c r="D27" i="3"/>
  <c r="G26" i="3"/>
  <c r="F26" i="3"/>
  <c r="E26" i="3"/>
  <c r="D26" i="3"/>
  <c r="H26" i="3" s="1"/>
  <c r="G25" i="3"/>
  <c r="F25" i="3"/>
  <c r="E25" i="3"/>
  <c r="D25" i="3"/>
  <c r="H25" i="3" s="1"/>
  <c r="H24" i="3"/>
  <c r="G24" i="3"/>
  <c r="F24" i="3"/>
  <c r="E24" i="3"/>
  <c r="D24" i="3"/>
  <c r="G23" i="3"/>
  <c r="F23" i="3"/>
  <c r="E23" i="3"/>
  <c r="D23" i="3"/>
  <c r="H23" i="3" s="1"/>
  <c r="H22" i="3"/>
  <c r="G22" i="3"/>
  <c r="F22" i="3"/>
  <c r="E22" i="3"/>
  <c r="D22" i="3"/>
  <c r="H21" i="3"/>
  <c r="G21" i="3"/>
  <c r="F21" i="3"/>
  <c r="E21" i="3"/>
  <c r="D21" i="3"/>
  <c r="G20" i="3"/>
  <c r="F20" i="3"/>
  <c r="E20" i="3"/>
  <c r="D20" i="3"/>
  <c r="H20" i="3" s="1"/>
  <c r="H19" i="3"/>
  <c r="G19" i="3"/>
  <c r="F19" i="3"/>
  <c r="E19" i="3"/>
  <c r="D19" i="3"/>
  <c r="G18" i="3"/>
  <c r="F18" i="3"/>
  <c r="E18" i="3"/>
  <c r="D18" i="3"/>
  <c r="H18" i="3" s="1"/>
  <c r="G17" i="3"/>
  <c r="F17" i="3"/>
  <c r="E17" i="3"/>
  <c r="D17" i="3"/>
  <c r="H17" i="3" s="1"/>
  <c r="H16" i="3"/>
  <c r="G16" i="3"/>
  <c r="F16" i="3"/>
  <c r="E16" i="3"/>
  <c r="D16" i="3"/>
  <c r="G15" i="3"/>
  <c r="F15" i="3"/>
  <c r="E15" i="3"/>
  <c r="D15" i="3"/>
  <c r="H15" i="3" s="1"/>
  <c r="H14" i="3"/>
  <c r="G14" i="3"/>
  <c r="F14" i="3"/>
  <c r="E14" i="3"/>
  <c r="D14" i="3"/>
  <c r="H13" i="3"/>
  <c r="G13" i="3"/>
  <c r="F13" i="3"/>
  <c r="E13" i="3"/>
  <c r="D13" i="3"/>
  <c r="G12" i="3"/>
  <c r="F12" i="3"/>
  <c r="E12" i="3"/>
  <c r="D12" i="3"/>
  <c r="H12" i="3" s="1"/>
  <c r="H11" i="3"/>
  <c r="G11" i="3"/>
  <c r="F11" i="3"/>
  <c r="E11" i="3"/>
  <c r="D11" i="3"/>
  <c r="G10" i="3"/>
  <c r="F10" i="3"/>
  <c r="E10" i="3"/>
  <c r="D10" i="3"/>
  <c r="H10" i="3" s="1"/>
  <c r="G9" i="3"/>
  <c r="F9" i="3"/>
  <c r="E9" i="3"/>
  <c r="D9" i="3"/>
  <c r="H9" i="3" s="1"/>
  <c r="H8" i="3"/>
  <c r="G8" i="3"/>
  <c r="F8" i="3"/>
  <c r="E8" i="3"/>
  <c r="D8" i="3"/>
  <c r="G7" i="3"/>
  <c r="F7" i="3"/>
  <c r="E7" i="3"/>
  <c r="D7" i="3"/>
  <c r="H7" i="3" s="1"/>
  <c r="H6" i="3"/>
  <c r="G6" i="3"/>
  <c r="F6" i="3"/>
  <c r="E6" i="3"/>
  <c r="D6" i="3"/>
  <c r="H5" i="3"/>
  <c r="G5" i="3"/>
  <c r="F5" i="3"/>
  <c r="F45" i="3" s="1"/>
  <c r="D58" i="3" s="1"/>
  <c r="E5" i="3"/>
  <c r="E45" i="3" s="1"/>
  <c r="D5" i="3"/>
  <c r="F115" i="10" l="1"/>
  <c r="C68" i="9"/>
  <c r="D67" i="9"/>
  <c r="D57" i="3"/>
  <c r="C58" i="3"/>
  <c r="D77" i="7"/>
  <c r="C78" i="7"/>
  <c r="F67" i="9"/>
  <c r="B59" i="9"/>
  <c r="B60" i="9" s="1"/>
  <c r="D57" i="12"/>
  <c r="C58" i="12"/>
  <c r="H6" i="11"/>
  <c r="H97" i="11" s="1"/>
  <c r="F110" i="11" s="1"/>
  <c r="D97" i="11"/>
  <c r="D45" i="6"/>
  <c r="G45" i="3"/>
  <c r="H45" i="6"/>
  <c r="F58" i="6" s="1"/>
  <c r="F45" i="12"/>
  <c r="D58" i="12" s="1"/>
  <c r="D65" i="13"/>
  <c r="B69" i="13" s="1"/>
  <c r="B70" i="13" s="1"/>
  <c r="H6" i="13"/>
  <c r="F113" i="16"/>
  <c r="D126" i="16" s="1"/>
  <c r="D45" i="18"/>
  <c r="D45" i="3"/>
  <c r="H125" i="4"/>
  <c r="F138" i="4" s="1"/>
  <c r="F97" i="11"/>
  <c r="D110" i="11" s="1"/>
  <c r="D125" i="4"/>
  <c r="G85" i="5"/>
  <c r="F103" i="10"/>
  <c r="D116" i="10" s="1"/>
  <c r="H7" i="17"/>
  <c r="D89" i="17"/>
  <c r="F56" i="6"/>
  <c r="F77" i="7"/>
  <c r="D65" i="7"/>
  <c r="F77" i="13"/>
  <c r="F96" i="5"/>
  <c r="G45" i="6"/>
  <c r="H65" i="7"/>
  <c r="F78" i="7" s="1"/>
  <c r="H65" i="13"/>
  <c r="F78" i="13" s="1"/>
  <c r="G113" i="16"/>
  <c r="E125" i="4"/>
  <c r="D85" i="5"/>
  <c r="D55" i="9"/>
  <c r="H6" i="9"/>
  <c r="H55" i="9" s="1"/>
  <c r="F68" i="9" s="1"/>
  <c r="H45" i="3"/>
  <c r="F58" i="3" s="1"/>
  <c r="F125" i="4"/>
  <c r="D138" i="4" s="1"/>
  <c r="E113" i="16"/>
  <c r="G125" i="4"/>
  <c r="C96" i="5"/>
  <c r="E97" i="11"/>
  <c r="F108" i="11"/>
  <c r="D45" i="12"/>
  <c r="H85" i="5"/>
  <c r="F98" i="5" s="1"/>
  <c r="H53" i="15"/>
  <c r="F66" i="15" s="1"/>
  <c r="D77" i="19"/>
  <c r="C78" i="19"/>
  <c r="H113" i="16"/>
  <c r="F126" i="16" s="1"/>
  <c r="E45" i="6"/>
  <c r="F45" i="6"/>
  <c r="D58" i="6" s="1"/>
  <c r="H6" i="10"/>
  <c r="H103" i="10" s="1"/>
  <c r="F116" i="10" s="1"/>
  <c r="D103" i="10"/>
  <c r="E103" i="10"/>
  <c r="G97" i="11"/>
  <c r="D113" i="16"/>
  <c r="G45" i="18"/>
  <c r="F76" i="13"/>
  <c r="E85" i="5"/>
  <c r="F85" i="5"/>
  <c r="D98" i="5" s="1"/>
  <c r="E65" i="13"/>
  <c r="E53" i="15"/>
  <c r="E89" i="17"/>
  <c r="H5" i="19"/>
  <c r="H65" i="19" s="1"/>
  <c r="F78" i="19" s="1"/>
  <c r="D65" i="19"/>
  <c r="G65" i="19"/>
  <c r="F65" i="13"/>
  <c r="D78" i="13" s="1"/>
  <c r="F53" i="15"/>
  <c r="D66" i="15" s="1"/>
  <c r="G53" i="15"/>
  <c r="H45" i="18"/>
  <c r="F58" i="18" s="1"/>
  <c r="G45" i="12"/>
  <c r="H89" i="17"/>
  <c r="F102" i="17" s="1"/>
  <c r="C56" i="18"/>
  <c r="H45" i="12"/>
  <c r="F58" i="12" s="1"/>
  <c r="F56" i="12"/>
  <c r="F100" i="17"/>
  <c r="D53" i="15"/>
  <c r="F89" i="17"/>
  <c r="D102" i="17" s="1"/>
  <c r="E45" i="18"/>
  <c r="G89" i="17"/>
  <c r="F45" i="18"/>
  <c r="D58" i="18" s="1"/>
  <c r="D115" i="10" l="1"/>
  <c r="C116" i="10"/>
  <c r="F137" i="4"/>
  <c r="B129" i="4"/>
  <c r="B130" i="4" s="1"/>
  <c r="C58" i="18"/>
  <c r="D57" i="18"/>
  <c r="C98" i="5"/>
  <c r="B102" i="5" s="1"/>
  <c r="D97" i="5"/>
  <c r="F57" i="3"/>
  <c r="B49" i="3"/>
  <c r="B50" i="3" s="1"/>
  <c r="C102" i="17"/>
  <c r="D101" i="17"/>
  <c r="B49" i="6"/>
  <c r="B50" i="6" s="1"/>
  <c r="F57" i="6"/>
  <c r="B78" i="7"/>
  <c r="D76" i="7"/>
  <c r="C77" i="7"/>
  <c r="B102" i="17"/>
  <c r="C101" i="17"/>
  <c r="D100" i="17"/>
  <c r="B105" i="17" s="1"/>
  <c r="D136" i="4"/>
  <c r="C137" i="4"/>
  <c r="B138" i="4"/>
  <c r="C78" i="13"/>
  <c r="D77" i="13"/>
  <c r="C115" i="10"/>
  <c r="D114" i="10"/>
  <c r="B116" i="10"/>
  <c r="D56" i="18"/>
  <c r="B63" i="18" s="1"/>
  <c r="B58" i="18"/>
  <c r="C57" i="18"/>
  <c r="B61" i="18" s="1"/>
  <c r="F65" i="15"/>
  <c r="B57" i="15"/>
  <c r="B58" i="15" s="1"/>
  <c r="C65" i="15"/>
  <c r="D64" i="15"/>
  <c r="B66" i="15"/>
  <c r="C58" i="6"/>
  <c r="D57" i="6"/>
  <c r="C57" i="12"/>
  <c r="B61" i="12" s="1"/>
  <c r="D56" i="12"/>
  <c r="B58" i="12"/>
  <c r="B69" i="7"/>
  <c r="B70" i="7" s="1"/>
  <c r="D56" i="6"/>
  <c r="B63" i="6" s="1"/>
  <c r="B58" i="6"/>
  <c r="C57" i="6"/>
  <c r="B107" i="10"/>
  <c r="B108" i="10" s="1"/>
  <c r="B62" i="18"/>
  <c r="D137" i="4"/>
  <c r="C138" i="4"/>
  <c r="C57" i="3"/>
  <c r="B58" i="3"/>
  <c r="D56" i="3"/>
  <c r="F57" i="12"/>
  <c r="B49" i="12"/>
  <c r="B50" i="12" s="1"/>
  <c r="B62" i="6"/>
  <c r="B126" i="16"/>
  <c r="C125" i="16"/>
  <c r="D124" i="16"/>
  <c r="D76" i="13"/>
  <c r="B78" i="13"/>
  <c r="C77" i="13"/>
  <c r="F101" i="17"/>
  <c r="B93" i="17"/>
  <c r="B94" i="17" s="1"/>
  <c r="B69" i="19"/>
  <c r="B70" i="19" s="1"/>
  <c r="F77" i="19"/>
  <c r="F125" i="16"/>
  <c r="B117" i="16"/>
  <c r="B118" i="16" s="1"/>
  <c r="B78" i="19"/>
  <c r="C77" i="19"/>
  <c r="D76" i="19"/>
  <c r="C126" i="16"/>
  <c r="D125" i="16"/>
  <c r="F97" i="5"/>
  <c r="B89" i="5"/>
  <c r="B90" i="5" s="1"/>
  <c r="B68" i="9"/>
  <c r="D66" i="9"/>
  <c r="C67" i="9"/>
  <c r="B107" i="17"/>
  <c r="D65" i="15"/>
  <c r="C66" i="15"/>
  <c r="B49" i="18"/>
  <c r="B50" i="18" s="1"/>
  <c r="F57" i="18"/>
  <c r="F109" i="11"/>
  <c r="B101" i="11"/>
  <c r="B102" i="11" s="1"/>
  <c r="D109" i="11"/>
  <c r="C110" i="11"/>
  <c r="D96" i="5"/>
  <c r="B98" i="5"/>
  <c r="C97" i="5"/>
  <c r="B110" i="11"/>
  <c r="C109" i="11"/>
  <c r="D108" i="11"/>
  <c r="B114" i="11" s="1"/>
  <c r="B101" i="5"/>
  <c r="B115" i="11" l="1"/>
  <c r="B71" i="15"/>
  <c r="B69" i="15"/>
  <c r="B70" i="15"/>
  <c r="B103" i="5"/>
  <c r="B71" i="9"/>
  <c r="B72" i="9"/>
  <c r="B73" i="9"/>
  <c r="B119" i="10"/>
  <c r="B121" i="10"/>
  <c r="B120" i="10"/>
  <c r="B113" i="11"/>
  <c r="B129" i="16"/>
  <c r="B130" i="16"/>
  <c r="B131" i="16"/>
  <c r="B82" i="19"/>
  <c r="B83" i="19"/>
  <c r="B81" i="19"/>
  <c r="B63" i="3"/>
  <c r="B62" i="3"/>
  <c r="B61" i="3"/>
  <c r="B141" i="4"/>
  <c r="B143" i="4"/>
  <c r="B142" i="4"/>
  <c r="B61" i="6"/>
  <c r="B81" i="13"/>
  <c r="B82" i="13"/>
  <c r="B83" i="13"/>
  <c r="B106" i="17"/>
  <c r="B63" i="12"/>
  <c r="B82" i="7"/>
  <c r="B81" i="7"/>
  <c r="B83" i="7"/>
  <c r="B62" i="12"/>
  <c r="B17" i="8"/>
  <c r="B10" i="20"/>
  <c r="C5" i="20"/>
  <c r="F16" i="20"/>
  <c r="B17" i="14"/>
  <c r="F16" i="14"/>
  <c r="C5" i="14"/>
  <c r="B10" i="14"/>
  <c r="B17" i="20"/>
  <c r="F16" i="8"/>
  <c r="C5" i="8"/>
  <c r="B10" i="8"/>
  <c r="F5" i="20"/>
  <c r="D18" i="20"/>
  <c r="F18" i="20"/>
  <c r="H5" i="20"/>
  <c r="D18" i="8"/>
  <c r="F5" i="8"/>
  <c r="F17" i="8"/>
  <c r="G5" i="8"/>
  <c r="B9" i="8"/>
  <c r="D17" i="8"/>
  <c r="E5" i="8"/>
  <c r="C18" i="8"/>
  <c r="D16" i="20"/>
  <c r="C17" i="20"/>
  <c r="D5" i="20"/>
  <c r="B18" i="20"/>
  <c r="F5" i="14"/>
  <c r="D18" i="14"/>
  <c r="F18" i="14"/>
  <c r="H5" i="14"/>
  <c r="B18" i="8"/>
  <c r="C17" i="8"/>
  <c r="D5" i="8"/>
  <c r="D16" i="8"/>
  <c r="H5" i="8"/>
  <c r="F18" i="8"/>
  <c r="D16" i="14"/>
  <c r="B18" i="14"/>
  <c r="D5" i="14"/>
  <c r="C17" i="14"/>
  <c r="F17" i="14"/>
  <c r="G5" i="14"/>
  <c r="B9" i="14"/>
  <c r="B23" i="20"/>
  <c r="B21" i="20"/>
  <c r="B5" i="20"/>
  <c r="C16" i="20"/>
  <c r="B22" i="20"/>
  <c r="C18" i="14"/>
  <c r="E5" i="14"/>
  <c r="D17" i="14"/>
  <c r="F17" i="20"/>
  <c r="G5" i="20"/>
  <c r="B9" i="20"/>
  <c r="B23" i="8"/>
  <c r="B21" i="8"/>
  <c r="B5" i="8"/>
  <c r="C16" i="8"/>
  <c r="B22" i="8"/>
  <c r="B22" i="14"/>
  <c r="B21" i="14"/>
  <c r="B5" i="14"/>
  <c r="C16" i="14"/>
  <c r="B23" i="14"/>
  <c r="D17" i="20"/>
  <c r="E5" i="20"/>
  <c r="C18" i="20"/>
</calcChain>
</file>

<file path=xl/sharedStrings.xml><?xml version="1.0" encoding="utf-8"?>
<sst xmlns="http://schemas.openxmlformats.org/spreadsheetml/2006/main" count="518" uniqueCount="59">
  <si>
    <t>Regression (NEW) – Full Calculation Workbook (v3.0.7 segmentation)</t>
  </si>
  <si>
    <t xml:space="preserve">This workbook shows FULL step-by-step calculations for the NEW regression coefficients using the same device split and distance-range segmentation as tag_sender v3.0.7.
Definitions:
- x = UWB raw distance (cm) AFTER preprocessing (A1_pre/A2_pre/A3_pre)
- y = measured ground-truth distance (cm)
- Ranges (by x):
  R0: x &lt; 50
  R1: 50 ≤ x &lt; 100
  R2: 100 ≤ x &lt; 500
  R3: 500 ≤ x &lt; 1000
  R4: 1000 ≤ x &lt; 3000
  R5: x ≥ 3000 (no samples in this dataset)
Models:
1) Linear: y = a + b·x
   b = (n·Σ(xy) − Σx·Σy) / (n·Σ(x²) − (Σx)²)
   a = (Σy − b·Σx) / n
2) Quadratic: y = p0 + p1·x + p2·x²
   Solve normal equations:
   [ n   Σx   Σx² ] [p0]   [ Σy   ]
   [ Σx  Σx²  Σx³ ] [p1] = [ Σ(xy)]
   [ Σx² Σx³ Σx⁴ ] [p2]   [ Σ(x²y)]
Each segment sheet contains the raw points (x,y), computed powers/products (x²,x³,x⁴,xy,x²y), the sums, and Excel formulas that compute the coefficients.
</t>
  </si>
  <si>
    <t>y_true_cm</t>
  </si>
  <si>
    <t>A1_x_cm</t>
  </si>
  <si>
    <t>A2_x_cm</t>
  </si>
  <si>
    <t>A3_x_cm</t>
  </si>
  <si>
    <t>A1 – Range R0 (x in -inf..50)</t>
  </si>
  <si>
    <t>n</t>
  </si>
  <si>
    <t>idx</t>
  </si>
  <si>
    <t>x</t>
  </si>
  <si>
    <t>y</t>
  </si>
  <si>
    <t>x^2</t>
  </si>
  <si>
    <t>x^3</t>
  </si>
  <si>
    <t>x^4</t>
  </si>
  <si>
    <t>x*y</t>
  </si>
  <si>
    <t>x^2*y</t>
  </si>
  <si>
    <t>SUM</t>
  </si>
  <si>
    <t>Linear regression (y = a + b·x)</t>
  </si>
  <si>
    <t>b</t>
  </si>
  <si>
    <t>a</t>
  </si>
  <si>
    <t>Quadratic regression (y = p0 + p1·x + p2·x^2)</t>
  </si>
  <si>
    <t>Normal equation matrix A (3x3)</t>
  </si>
  <si>
    <t>Σx</t>
  </si>
  <si>
    <t>Σx²</t>
  </si>
  <si>
    <t>rhs</t>
  </si>
  <si>
    <t>row1</t>
  </si>
  <si>
    <t>row2</t>
  </si>
  <si>
    <t>row3</t>
  </si>
  <si>
    <t>Solve coefficients p = MINVERSE(A) · rhs</t>
  </si>
  <si>
    <t>p0</t>
  </si>
  <si>
    <t>p1</t>
  </si>
  <si>
    <t>p2</t>
  </si>
  <si>
    <t>A1 – Range R1 (x in 50..100)</t>
  </si>
  <si>
    <t>A1 – Range R2 (x in 100..500)</t>
  </si>
  <si>
    <t>A1 – Range R3 (x in 500..1000)</t>
  </si>
  <si>
    <t>A1 – Range R4 (x in 1000..3000)</t>
  </si>
  <si>
    <t>A1 – Range R5 (x in 3000..inf)</t>
  </si>
  <si>
    <t>A2 – Range R0 (x in -inf..50)</t>
  </si>
  <si>
    <t>A2 – Range R1 (x in 50..100)</t>
  </si>
  <si>
    <t>A2 – Range R2 (x in 100..500)</t>
  </si>
  <si>
    <t>A2 – Range R3 (x in 500..1000)</t>
  </si>
  <si>
    <t>A2 – Range R4 (x in 1000..3000)</t>
  </si>
  <si>
    <t>A2 – Range R5 (x in 3000..inf)</t>
  </si>
  <si>
    <t>A3 – Range R0 (x in -inf..50)</t>
  </si>
  <si>
    <t>A3 – Range R1 (x in 50..100)</t>
  </si>
  <si>
    <t>A3 – Range R2 (x in 100..500)</t>
  </si>
  <si>
    <t>A3 – Range R3 (x in 500..1000)</t>
  </si>
  <si>
    <t>A3 – Range R4 (x in 1000..3000)</t>
  </si>
  <si>
    <t>A3 – Range R5 (x in 3000..inf)</t>
  </si>
  <si>
    <t>device</t>
  </si>
  <si>
    <t>range_id</t>
  </si>
  <si>
    <t>linear_a</t>
  </si>
  <si>
    <t>linear_b</t>
  </si>
  <si>
    <t>quad_p0</t>
  </si>
  <si>
    <t>quad_p1</t>
  </si>
  <si>
    <t>quad_p2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</si>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</sst>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4"/>
      <name val="Tahoma"/>
    </font>
    <font>
      <b/>
      <sz val="11"/>
      <color rgb="FFFFFFFF"/>
      <name val="Tahoma"/>
    </font>
    <font>
      <b/>
      <sz val="13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4.25" x14ac:dyDescent="0.2"/>
  <cols>
    <col min="1" max="1" width="110" customWidth="1"/>
  </cols>
  <sheetData>
    <row r="1" spans="1:1" ht="18" x14ac:dyDescent="0.25">
      <c r="A1" s="1" t="s">
        <v>0</v>
      </c>
    </row>
    <row r="3" spans="1:1" ht="339.95" customHeight="1" x14ac:dyDescent="0.2">
      <c r="A3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1"/>
  <sheetViews>
    <sheetView workbookViewId="0"/>
  </sheetViews>
  <sheetFormatPr defaultRowHeight="14.25" x14ac:dyDescent="0.2"/>
  <cols>
    <col min="1" max="4" width="14" customWidth="1"/>
  </cols>
  <sheetData>
    <row r="1" spans="1:4" x14ac:dyDescent="0.2">
      <c r="A1" s="3" t="s">
        <v>2</v>
      </c>
      <c r="B1" s="3" t="s">
        <v>3</v>
      </c>
      <c r="C1" s="3" t="s">
        <v>4</v>
      </c>
      <c r="D1" s="3" t="s">
        <v>5</v>
      </c>
    </row>
    <row r="2" spans="1:4" x14ac:dyDescent="0.2">
      <c r="A2" s="4">
        <v>10</v>
      </c>
      <c r="B2" s="4">
        <v>31</v>
      </c>
      <c r="C2" s="4">
        <v>38</v>
      </c>
      <c r="D2" s="4">
        <v>31</v>
      </c>
    </row>
    <row r="3" spans="1:4" x14ac:dyDescent="0.2">
      <c r="A3" s="4">
        <v>10</v>
      </c>
      <c r="B3" s="4">
        <v>30</v>
      </c>
      <c r="C3" s="4">
        <v>37</v>
      </c>
      <c r="D3" s="4">
        <v>34</v>
      </c>
    </row>
    <row r="4" spans="1:4" x14ac:dyDescent="0.2">
      <c r="A4" s="4">
        <v>10</v>
      </c>
      <c r="B4" s="4">
        <v>31</v>
      </c>
      <c r="C4" s="4">
        <v>39</v>
      </c>
      <c r="D4" s="4">
        <v>35</v>
      </c>
    </row>
    <row r="5" spans="1:4" x14ac:dyDescent="0.2">
      <c r="A5" s="4">
        <v>10</v>
      </c>
      <c r="B5" s="4">
        <v>30</v>
      </c>
      <c r="C5" s="4">
        <v>37</v>
      </c>
      <c r="D5" s="4">
        <v>33</v>
      </c>
    </row>
    <row r="6" spans="1:4" x14ac:dyDescent="0.2">
      <c r="A6" s="4">
        <v>10</v>
      </c>
      <c r="B6" s="4">
        <v>32</v>
      </c>
      <c r="C6" s="4">
        <v>36</v>
      </c>
      <c r="D6" s="4">
        <v>35</v>
      </c>
    </row>
    <row r="7" spans="1:4" x14ac:dyDescent="0.2">
      <c r="A7" s="4">
        <v>10</v>
      </c>
      <c r="B7" s="4">
        <v>31</v>
      </c>
      <c r="C7" s="4">
        <v>37</v>
      </c>
      <c r="D7" s="4">
        <v>34</v>
      </c>
    </row>
    <row r="8" spans="1:4" x14ac:dyDescent="0.2">
      <c r="A8" s="4">
        <v>10</v>
      </c>
      <c r="B8" s="4">
        <v>32</v>
      </c>
      <c r="C8" s="4">
        <v>37</v>
      </c>
      <c r="D8" s="4">
        <v>32</v>
      </c>
    </row>
    <row r="9" spans="1:4" x14ac:dyDescent="0.2">
      <c r="A9" s="4">
        <v>10</v>
      </c>
      <c r="B9" s="4">
        <v>30</v>
      </c>
      <c r="C9" s="4">
        <v>36</v>
      </c>
      <c r="D9" s="4">
        <v>31</v>
      </c>
    </row>
    <row r="10" spans="1:4" x14ac:dyDescent="0.2">
      <c r="A10" s="4">
        <v>10</v>
      </c>
      <c r="B10" s="4">
        <v>31</v>
      </c>
      <c r="C10" s="4">
        <v>36</v>
      </c>
      <c r="D10" s="4">
        <v>33</v>
      </c>
    </row>
    <row r="11" spans="1:4" x14ac:dyDescent="0.2">
      <c r="A11" s="4">
        <v>10</v>
      </c>
      <c r="B11" s="4">
        <v>31</v>
      </c>
      <c r="C11" s="4">
        <v>37</v>
      </c>
      <c r="D11" s="4">
        <v>32</v>
      </c>
    </row>
    <row r="12" spans="1:4" x14ac:dyDescent="0.2">
      <c r="A12" s="4">
        <v>10</v>
      </c>
      <c r="B12" s="4">
        <v>33</v>
      </c>
      <c r="C12" s="4">
        <v>38</v>
      </c>
      <c r="D12" s="4">
        <v>34</v>
      </c>
    </row>
    <row r="13" spans="1:4" x14ac:dyDescent="0.2">
      <c r="A13" s="4">
        <v>10</v>
      </c>
      <c r="B13" s="4">
        <v>32</v>
      </c>
      <c r="C13" s="4">
        <v>36</v>
      </c>
      <c r="D13" s="4">
        <v>35</v>
      </c>
    </row>
    <row r="14" spans="1:4" x14ac:dyDescent="0.2">
      <c r="A14" s="4">
        <v>10</v>
      </c>
      <c r="B14" s="4">
        <v>32</v>
      </c>
      <c r="C14" s="4">
        <v>37</v>
      </c>
      <c r="D14" s="4">
        <v>33</v>
      </c>
    </row>
    <row r="15" spans="1:4" x14ac:dyDescent="0.2">
      <c r="A15" s="4">
        <v>10</v>
      </c>
      <c r="B15" s="4">
        <v>30</v>
      </c>
      <c r="C15" s="4">
        <v>36</v>
      </c>
      <c r="D15" s="4">
        <v>32</v>
      </c>
    </row>
    <row r="16" spans="1:4" x14ac:dyDescent="0.2">
      <c r="A16" s="4">
        <v>10</v>
      </c>
      <c r="B16" s="4">
        <v>31</v>
      </c>
      <c r="C16" s="4">
        <v>35</v>
      </c>
      <c r="D16" s="4">
        <v>35</v>
      </c>
    </row>
    <row r="17" spans="1:4" x14ac:dyDescent="0.2">
      <c r="A17" s="4">
        <v>10</v>
      </c>
      <c r="B17" s="4">
        <v>32</v>
      </c>
      <c r="C17" s="4">
        <v>37</v>
      </c>
      <c r="D17" s="4">
        <v>34</v>
      </c>
    </row>
    <row r="18" spans="1:4" x14ac:dyDescent="0.2">
      <c r="A18" s="4">
        <v>10</v>
      </c>
      <c r="B18" s="4">
        <v>32</v>
      </c>
      <c r="C18" s="4">
        <v>39</v>
      </c>
      <c r="D18" s="4">
        <v>35</v>
      </c>
    </row>
    <row r="19" spans="1:4" x14ac:dyDescent="0.2">
      <c r="A19" s="4">
        <v>10</v>
      </c>
      <c r="B19" s="4">
        <v>30</v>
      </c>
      <c r="C19" s="4">
        <v>36</v>
      </c>
      <c r="D19" s="4">
        <v>33</v>
      </c>
    </row>
    <row r="20" spans="1:4" x14ac:dyDescent="0.2">
      <c r="A20" s="4">
        <v>10</v>
      </c>
      <c r="B20" s="4">
        <v>32</v>
      </c>
      <c r="C20" s="4">
        <v>35</v>
      </c>
      <c r="D20" s="4">
        <v>32</v>
      </c>
    </row>
    <row r="21" spans="1:4" x14ac:dyDescent="0.2">
      <c r="A21" s="4">
        <v>10</v>
      </c>
      <c r="B21" s="4">
        <v>31</v>
      </c>
      <c r="C21" s="4">
        <v>37</v>
      </c>
      <c r="D21" s="4">
        <v>33</v>
      </c>
    </row>
    <row r="22" spans="1:4" x14ac:dyDescent="0.2">
      <c r="A22" s="4">
        <v>15</v>
      </c>
      <c r="B22" s="4">
        <v>39</v>
      </c>
      <c r="C22" s="4">
        <v>44</v>
      </c>
      <c r="D22" s="4">
        <v>44</v>
      </c>
    </row>
    <row r="23" spans="1:4" x14ac:dyDescent="0.2">
      <c r="A23" s="4">
        <v>15</v>
      </c>
      <c r="B23" s="4">
        <v>40</v>
      </c>
      <c r="C23" s="4">
        <v>43</v>
      </c>
      <c r="D23" s="4">
        <v>42</v>
      </c>
    </row>
    <row r="24" spans="1:4" x14ac:dyDescent="0.2">
      <c r="A24" s="4">
        <v>15</v>
      </c>
      <c r="B24" s="4">
        <v>39</v>
      </c>
      <c r="C24" s="4">
        <v>42</v>
      </c>
      <c r="D24" s="4">
        <v>43</v>
      </c>
    </row>
    <row r="25" spans="1:4" x14ac:dyDescent="0.2">
      <c r="A25" s="4">
        <v>15</v>
      </c>
      <c r="B25" s="4">
        <v>40</v>
      </c>
      <c r="C25" s="4">
        <v>44</v>
      </c>
      <c r="D25" s="4">
        <v>44</v>
      </c>
    </row>
    <row r="26" spans="1:4" x14ac:dyDescent="0.2">
      <c r="A26" s="4">
        <v>15</v>
      </c>
      <c r="B26" s="4">
        <v>39</v>
      </c>
      <c r="C26" s="4">
        <v>43</v>
      </c>
      <c r="D26" s="4">
        <v>42</v>
      </c>
    </row>
    <row r="27" spans="1:4" x14ac:dyDescent="0.2">
      <c r="A27" s="4">
        <v>15</v>
      </c>
      <c r="B27" s="4">
        <v>38</v>
      </c>
      <c r="C27" s="4">
        <v>42</v>
      </c>
      <c r="D27" s="4">
        <v>41</v>
      </c>
    </row>
    <row r="28" spans="1:4" x14ac:dyDescent="0.2">
      <c r="A28" s="4">
        <v>15</v>
      </c>
      <c r="B28" s="4">
        <v>39</v>
      </c>
      <c r="C28" s="4">
        <v>44</v>
      </c>
      <c r="D28" s="4">
        <v>43</v>
      </c>
    </row>
    <row r="29" spans="1:4" x14ac:dyDescent="0.2">
      <c r="A29" s="4">
        <v>15</v>
      </c>
      <c r="B29" s="4">
        <v>40</v>
      </c>
      <c r="C29" s="4">
        <v>43</v>
      </c>
      <c r="D29" s="4">
        <v>42</v>
      </c>
    </row>
    <row r="30" spans="1:4" x14ac:dyDescent="0.2">
      <c r="A30" s="4">
        <v>15</v>
      </c>
      <c r="B30" s="4">
        <v>39</v>
      </c>
      <c r="C30" s="4">
        <v>41</v>
      </c>
      <c r="D30" s="4">
        <v>41</v>
      </c>
    </row>
    <row r="31" spans="1:4" x14ac:dyDescent="0.2">
      <c r="A31" s="4">
        <v>15</v>
      </c>
      <c r="B31" s="4">
        <v>36</v>
      </c>
      <c r="C31" s="4">
        <v>44</v>
      </c>
      <c r="D31" s="4">
        <v>43</v>
      </c>
    </row>
    <row r="32" spans="1:4" x14ac:dyDescent="0.2">
      <c r="A32" s="4">
        <v>15</v>
      </c>
      <c r="B32" s="4">
        <v>38</v>
      </c>
      <c r="C32" s="4">
        <v>42</v>
      </c>
      <c r="D32" s="4">
        <v>43</v>
      </c>
    </row>
    <row r="33" spans="1:4" x14ac:dyDescent="0.2">
      <c r="A33" s="4">
        <v>15</v>
      </c>
      <c r="B33" s="4">
        <v>40</v>
      </c>
      <c r="C33" s="4">
        <v>43</v>
      </c>
      <c r="D33" s="4">
        <v>42</v>
      </c>
    </row>
    <row r="34" spans="1:4" x14ac:dyDescent="0.2">
      <c r="A34" s="4">
        <v>15</v>
      </c>
      <c r="B34" s="4">
        <v>41</v>
      </c>
      <c r="C34" s="4">
        <v>42</v>
      </c>
      <c r="D34" s="4">
        <v>44</v>
      </c>
    </row>
    <row r="35" spans="1:4" x14ac:dyDescent="0.2">
      <c r="A35" s="4">
        <v>15</v>
      </c>
      <c r="B35" s="4">
        <v>38</v>
      </c>
      <c r="C35" s="4">
        <v>41</v>
      </c>
      <c r="D35" s="4">
        <v>43</v>
      </c>
    </row>
    <row r="36" spans="1:4" x14ac:dyDescent="0.2">
      <c r="A36" s="4">
        <v>15</v>
      </c>
      <c r="B36" s="4">
        <v>39</v>
      </c>
      <c r="C36" s="4">
        <v>40</v>
      </c>
      <c r="D36" s="4">
        <v>40</v>
      </c>
    </row>
    <row r="37" spans="1:4" x14ac:dyDescent="0.2">
      <c r="A37" s="4">
        <v>15</v>
      </c>
      <c r="B37" s="4">
        <v>40</v>
      </c>
      <c r="C37" s="4">
        <v>41</v>
      </c>
      <c r="D37" s="4">
        <v>41</v>
      </c>
    </row>
    <row r="38" spans="1:4" x14ac:dyDescent="0.2">
      <c r="A38" s="4">
        <v>15</v>
      </c>
      <c r="B38" s="4">
        <v>41</v>
      </c>
      <c r="C38" s="4">
        <v>44</v>
      </c>
      <c r="D38" s="4">
        <v>43</v>
      </c>
    </row>
    <row r="39" spans="1:4" x14ac:dyDescent="0.2">
      <c r="A39" s="4">
        <v>15</v>
      </c>
      <c r="B39" s="4">
        <v>38</v>
      </c>
      <c r="C39" s="4">
        <v>43</v>
      </c>
      <c r="D39" s="4">
        <v>44</v>
      </c>
    </row>
    <row r="40" spans="1:4" x14ac:dyDescent="0.2">
      <c r="A40" s="4">
        <v>15</v>
      </c>
      <c r="B40" s="4">
        <v>37</v>
      </c>
      <c r="C40" s="4">
        <v>42</v>
      </c>
      <c r="D40" s="4">
        <v>42</v>
      </c>
    </row>
    <row r="41" spans="1:4" x14ac:dyDescent="0.2">
      <c r="A41" s="4">
        <v>15</v>
      </c>
      <c r="B41" s="4">
        <v>39</v>
      </c>
      <c r="C41" s="4">
        <v>41</v>
      </c>
      <c r="D41" s="4">
        <v>43</v>
      </c>
    </row>
    <row r="42" spans="1:4" x14ac:dyDescent="0.2">
      <c r="A42" s="4">
        <v>20</v>
      </c>
      <c r="B42" s="4">
        <v>52</v>
      </c>
      <c r="C42" s="4">
        <v>50</v>
      </c>
      <c r="D42" s="4">
        <v>53</v>
      </c>
    </row>
    <row r="43" spans="1:4" x14ac:dyDescent="0.2">
      <c r="A43" s="4">
        <v>20</v>
      </c>
      <c r="B43" s="4">
        <v>51</v>
      </c>
      <c r="C43" s="4">
        <v>49</v>
      </c>
      <c r="D43" s="4">
        <v>52</v>
      </c>
    </row>
    <row r="44" spans="1:4" x14ac:dyDescent="0.2">
      <c r="A44" s="4">
        <v>20</v>
      </c>
      <c r="B44" s="4">
        <v>53</v>
      </c>
      <c r="C44" s="4">
        <v>48</v>
      </c>
      <c r="D44" s="4">
        <v>49</v>
      </c>
    </row>
    <row r="45" spans="1:4" x14ac:dyDescent="0.2">
      <c r="A45" s="4">
        <v>20</v>
      </c>
      <c r="B45" s="4">
        <v>52</v>
      </c>
      <c r="C45" s="4">
        <v>51</v>
      </c>
      <c r="D45" s="4">
        <v>50</v>
      </c>
    </row>
    <row r="46" spans="1:4" x14ac:dyDescent="0.2">
      <c r="A46" s="4">
        <v>20</v>
      </c>
      <c r="B46" s="4">
        <v>53</v>
      </c>
      <c r="C46" s="4">
        <v>49</v>
      </c>
      <c r="D46" s="4">
        <v>49</v>
      </c>
    </row>
    <row r="47" spans="1:4" x14ac:dyDescent="0.2">
      <c r="A47" s="4">
        <v>20</v>
      </c>
      <c r="B47" s="4">
        <v>52</v>
      </c>
      <c r="C47" s="4">
        <v>50</v>
      </c>
      <c r="D47" s="4">
        <v>48</v>
      </c>
    </row>
    <row r="48" spans="1:4" x14ac:dyDescent="0.2">
      <c r="A48" s="4">
        <v>20</v>
      </c>
      <c r="B48" s="4">
        <v>54</v>
      </c>
      <c r="C48" s="4">
        <v>48</v>
      </c>
      <c r="D48" s="4">
        <v>50</v>
      </c>
    </row>
    <row r="49" spans="1:4" x14ac:dyDescent="0.2">
      <c r="A49" s="4">
        <v>20</v>
      </c>
      <c r="B49" s="4">
        <v>55</v>
      </c>
      <c r="C49" s="4">
        <v>49</v>
      </c>
      <c r="D49" s="4">
        <v>51</v>
      </c>
    </row>
    <row r="50" spans="1:4" x14ac:dyDescent="0.2">
      <c r="A50" s="4">
        <v>20</v>
      </c>
      <c r="B50" s="4">
        <v>53</v>
      </c>
      <c r="C50" s="4">
        <v>51</v>
      </c>
      <c r="D50" s="4">
        <v>49</v>
      </c>
    </row>
    <row r="51" spans="1:4" x14ac:dyDescent="0.2">
      <c r="A51" s="4">
        <v>20</v>
      </c>
      <c r="B51" s="4">
        <v>50</v>
      </c>
      <c r="C51" s="4">
        <v>50</v>
      </c>
      <c r="D51" s="4">
        <v>51</v>
      </c>
    </row>
    <row r="52" spans="1:4" x14ac:dyDescent="0.2">
      <c r="A52" s="4">
        <v>20</v>
      </c>
      <c r="B52" s="4">
        <v>54</v>
      </c>
      <c r="C52" s="4">
        <v>49</v>
      </c>
      <c r="D52" s="4">
        <v>50</v>
      </c>
    </row>
    <row r="53" spans="1:4" x14ac:dyDescent="0.2">
      <c r="A53" s="4">
        <v>20</v>
      </c>
      <c r="B53" s="4">
        <v>52</v>
      </c>
      <c r="C53" s="4">
        <v>52</v>
      </c>
      <c r="D53" s="4">
        <v>47</v>
      </c>
    </row>
    <row r="54" spans="1:4" x14ac:dyDescent="0.2">
      <c r="A54" s="4">
        <v>20</v>
      </c>
      <c r="B54" s="4">
        <v>53</v>
      </c>
      <c r="C54" s="4">
        <v>50</v>
      </c>
      <c r="D54" s="4">
        <v>49</v>
      </c>
    </row>
    <row r="55" spans="1:4" x14ac:dyDescent="0.2">
      <c r="A55" s="4">
        <v>20</v>
      </c>
      <c r="B55" s="4">
        <v>52</v>
      </c>
      <c r="C55" s="4">
        <v>49</v>
      </c>
      <c r="D55" s="4">
        <v>50</v>
      </c>
    </row>
    <row r="56" spans="1:4" x14ac:dyDescent="0.2">
      <c r="A56" s="4">
        <v>20</v>
      </c>
      <c r="B56" s="4">
        <v>54</v>
      </c>
      <c r="C56" s="4">
        <v>52</v>
      </c>
      <c r="D56" s="4">
        <v>52</v>
      </c>
    </row>
    <row r="57" spans="1:4" x14ac:dyDescent="0.2">
      <c r="A57" s="4">
        <v>20</v>
      </c>
      <c r="B57" s="4">
        <v>55</v>
      </c>
      <c r="C57" s="4">
        <v>51</v>
      </c>
      <c r="D57" s="4">
        <v>49</v>
      </c>
    </row>
    <row r="58" spans="1:4" x14ac:dyDescent="0.2">
      <c r="A58" s="4">
        <v>20</v>
      </c>
      <c r="B58" s="4">
        <v>53</v>
      </c>
      <c r="C58" s="4">
        <v>50</v>
      </c>
      <c r="D58" s="4">
        <v>48</v>
      </c>
    </row>
    <row r="59" spans="1:4" x14ac:dyDescent="0.2">
      <c r="A59" s="4">
        <v>20</v>
      </c>
      <c r="B59" s="4">
        <v>52</v>
      </c>
      <c r="C59" s="4">
        <v>48</v>
      </c>
      <c r="D59" s="4">
        <v>50</v>
      </c>
    </row>
    <row r="60" spans="1:4" x14ac:dyDescent="0.2">
      <c r="A60" s="4">
        <v>20</v>
      </c>
      <c r="B60" s="4">
        <v>51</v>
      </c>
      <c r="C60" s="4">
        <v>49</v>
      </c>
      <c r="D60" s="4">
        <v>51</v>
      </c>
    </row>
    <row r="61" spans="1:4" x14ac:dyDescent="0.2">
      <c r="A61" s="4">
        <v>20</v>
      </c>
      <c r="B61" s="4">
        <v>54</v>
      </c>
      <c r="C61" s="4">
        <v>47</v>
      </c>
      <c r="D61" s="4">
        <v>55</v>
      </c>
    </row>
    <row r="62" spans="1:4" x14ac:dyDescent="0.2">
      <c r="A62" s="4">
        <v>25</v>
      </c>
      <c r="B62" s="4">
        <v>59</v>
      </c>
      <c r="C62" s="4">
        <v>61</v>
      </c>
      <c r="D62" s="4">
        <v>63</v>
      </c>
    </row>
    <row r="63" spans="1:4" x14ac:dyDescent="0.2">
      <c r="A63" s="4">
        <v>25</v>
      </c>
      <c r="B63" s="4">
        <v>60</v>
      </c>
      <c r="C63" s="4">
        <v>56</v>
      </c>
      <c r="D63" s="4">
        <v>61</v>
      </c>
    </row>
    <row r="64" spans="1:4" x14ac:dyDescent="0.2">
      <c r="A64" s="4">
        <v>25</v>
      </c>
      <c r="B64" s="4">
        <v>61</v>
      </c>
      <c r="C64" s="4">
        <v>57</v>
      </c>
      <c r="D64" s="4">
        <v>67</v>
      </c>
    </row>
    <row r="65" spans="1:4" x14ac:dyDescent="0.2">
      <c r="A65" s="4">
        <v>25</v>
      </c>
      <c r="B65" s="4">
        <v>60</v>
      </c>
      <c r="C65" s="4">
        <v>57</v>
      </c>
      <c r="D65" s="4">
        <v>64</v>
      </c>
    </row>
    <row r="66" spans="1:4" x14ac:dyDescent="0.2">
      <c r="A66" s="4">
        <v>25</v>
      </c>
      <c r="B66" s="4">
        <v>61</v>
      </c>
      <c r="C66" s="4">
        <v>56</v>
      </c>
      <c r="D66" s="4">
        <v>61</v>
      </c>
    </row>
    <row r="67" spans="1:4" x14ac:dyDescent="0.2">
      <c r="A67" s="4">
        <v>25</v>
      </c>
      <c r="B67" s="4">
        <v>62</v>
      </c>
      <c r="C67" s="4">
        <v>58</v>
      </c>
      <c r="D67" s="4">
        <v>62</v>
      </c>
    </row>
    <row r="68" spans="1:4" x14ac:dyDescent="0.2">
      <c r="A68" s="4">
        <v>25</v>
      </c>
      <c r="B68" s="4">
        <v>60</v>
      </c>
      <c r="C68" s="4">
        <v>57</v>
      </c>
      <c r="D68" s="4">
        <v>60</v>
      </c>
    </row>
    <row r="69" spans="1:4" x14ac:dyDescent="0.2">
      <c r="A69" s="4">
        <v>25</v>
      </c>
      <c r="B69" s="4">
        <v>59</v>
      </c>
      <c r="C69" s="4">
        <v>56</v>
      </c>
      <c r="D69" s="4">
        <v>61</v>
      </c>
    </row>
    <row r="70" spans="1:4" x14ac:dyDescent="0.2">
      <c r="A70" s="4">
        <v>25</v>
      </c>
      <c r="B70" s="4">
        <v>60</v>
      </c>
      <c r="C70" s="4">
        <v>57</v>
      </c>
      <c r="D70" s="4">
        <v>61</v>
      </c>
    </row>
    <row r="71" spans="1:4" x14ac:dyDescent="0.2">
      <c r="A71" s="4">
        <v>25</v>
      </c>
      <c r="B71" s="4">
        <v>61</v>
      </c>
      <c r="C71" s="4">
        <v>56</v>
      </c>
      <c r="D71" s="4">
        <v>62</v>
      </c>
    </row>
    <row r="72" spans="1:4" x14ac:dyDescent="0.2">
      <c r="A72" s="4">
        <v>25</v>
      </c>
      <c r="B72" s="4">
        <v>59</v>
      </c>
      <c r="C72" s="4">
        <v>58</v>
      </c>
      <c r="D72" s="4">
        <v>60</v>
      </c>
    </row>
    <row r="73" spans="1:4" x14ac:dyDescent="0.2">
      <c r="A73" s="4">
        <v>25</v>
      </c>
      <c r="B73" s="4">
        <v>60</v>
      </c>
      <c r="C73" s="4">
        <v>56</v>
      </c>
      <c r="D73" s="4">
        <v>62</v>
      </c>
    </row>
    <row r="74" spans="1:4" x14ac:dyDescent="0.2">
      <c r="A74" s="4">
        <v>25</v>
      </c>
      <c r="B74" s="4">
        <v>61</v>
      </c>
      <c r="C74" s="4">
        <v>57</v>
      </c>
      <c r="D74" s="4">
        <v>61</v>
      </c>
    </row>
    <row r="75" spans="1:4" x14ac:dyDescent="0.2">
      <c r="A75" s="4">
        <v>25</v>
      </c>
      <c r="B75" s="4">
        <v>60</v>
      </c>
      <c r="C75" s="4">
        <v>58</v>
      </c>
      <c r="D75" s="4">
        <v>58</v>
      </c>
    </row>
    <row r="76" spans="1:4" x14ac:dyDescent="0.2">
      <c r="A76" s="4">
        <v>25</v>
      </c>
      <c r="B76" s="4">
        <v>61</v>
      </c>
      <c r="C76" s="4">
        <v>55</v>
      </c>
      <c r="D76" s="4">
        <v>59</v>
      </c>
    </row>
    <row r="77" spans="1:4" x14ac:dyDescent="0.2">
      <c r="A77" s="4">
        <v>25</v>
      </c>
      <c r="B77" s="4">
        <v>59</v>
      </c>
      <c r="C77" s="4">
        <v>56</v>
      </c>
      <c r="D77" s="4">
        <v>60</v>
      </c>
    </row>
    <row r="78" spans="1:4" x14ac:dyDescent="0.2">
      <c r="A78" s="4">
        <v>25</v>
      </c>
      <c r="B78" s="4">
        <v>60</v>
      </c>
      <c r="C78" s="4">
        <v>55</v>
      </c>
      <c r="D78" s="4">
        <v>63</v>
      </c>
    </row>
    <row r="79" spans="1:4" x14ac:dyDescent="0.2">
      <c r="A79" s="4">
        <v>25</v>
      </c>
      <c r="B79" s="4">
        <v>59</v>
      </c>
      <c r="C79" s="4">
        <v>57</v>
      </c>
      <c r="D79" s="4">
        <v>62</v>
      </c>
    </row>
    <row r="80" spans="1:4" x14ac:dyDescent="0.2">
      <c r="A80" s="4">
        <v>25</v>
      </c>
      <c r="B80" s="4">
        <v>58</v>
      </c>
      <c r="C80" s="4">
        <v>58</v>
      </c>
      <c r="D80" s="4">
        <v>60</v>
      </c>
    </row>
    <row r="81" spans="1:4" x14ac:dyDescent="0.2">
      <c r="A81" s="4">
        <v>25</v>
      </c>
      <c r="B81" s="4">
        <v>59</v>
      </c>
      <c r="C81" s="4">
        <v>55</v>
      </c>
      <c r="D81" s="4">
        <v>62</v>
      </c>
    </row>
    <row r="82" spans="1:4" x14ac:dyDescent="0.2">
      <c r="A82" s="4">
        <v>30</v>
      </c>
      <c r="B82" s="4">
        <v>67</v>
      </c>
      <c r="C82" s="4">
        <v>65</v>
      </c>
      <c r="D82" s="4">
        <v>65</v>
      </c>
    </row>
    <row r="83" spans="1:4" x14ac:dyDescent="0.2">
      <c r="A83" s="4">
        <v>30</v>
      </c>
      <c r="B83" s="4">
        <v>68</v>
      </c>
      <c r="C83" s="4">
        <v>67</v>
      </c>
      <c r="D83" s="4">
        <v>66</v>
      </c>
    </row>
    <row r="84" spans="1:4" x14ac:dyDescent="0.2">
      <c r="A84" s="4">
        <v>30</v>
      </c>
      <c r="B84" s="4">
        <v>69</v>
      </c>
      <c r="C84" s="4">
        <v>64</v>
      </c>
      <c r="D84" s="4">
        <v>64</v>
      </c>
    </row>
    <row r="85" spans="1:4" x14ac:dyDescent="0.2">
      <c r="A85" s="4">
        <v>30</v>
      </c>
      <c r="B85" s="4">
        <v>70</v>
      </c>
      <c r="C85" s="4">
        <v>63</v>
      </c>
      <c r="D85" s="4">
        <v>63</v>
      </c>
    </row>
    <row r="86" spans="1:4" x14ac:dyDescent="0.2">
      <c r="A86" s="4">
        <v>30</v>
      </c>
      <c r="B86" s="4">
        <v>71</v>
      </c>
      <c r="C86" s="4">
        <v>65</v>
      </c>
      <c r="D86" s="4">
        <v>72</v>
      </c>
    </row>
    <row r="87" spans="1:4" x14ac:dyDescent="0.2">
      <c r="A87" s="4">
        <v>30</v>
      </c>
      <c r="B87" s="4">
        <v>68</v>
      </c>
      <c r="C87" s="4">
        <v>64</v>
      </c>
      <c r="D87" s="4">
        <v>73</v>
      </c>
    </row>
    <row r="88" spans="1:4" x14ac:dyDescent="0.2">
      <c r="A88" s="4">
        <v>30</v>
      </c>
      <c r="B88" s="4">
        <v>69</v>
      </c>
      <c r="C88" s="4">
        <v>65</v>
      </c>
      <c r="D88" s="4">
        <v>69</v>
      </c>
    </row>
    <row r="89" spans="1:4" x14ac:dyDescent="0.2">
      <c r="A89" s="4">
        <v>30</v>
      </c>
      <c r="B89" s="4">
        <v>70</v>
      </c>
      <c r="C89" s="4">
        <v>67</v>
      </c>
      <c r="D89" s="4">
        <v>68</v>
      </c>
    </row>
    <row r="90" spans="1:4" x14ac:dyDescent="0.2">
      <c r="A90" s="4">
        <v>30</v>
      </c>
      <c r="B90" s="4">
        <v>70</v>
      </c>
      <c r="C90" s="4">
        <v>67</v>
      </c>
      <c r="D90" s="4">
        <v>67</v>
      </c>
    </row>
    <row r="91" spans="1:4" x14ac:dyDescent="0.2">
      <c r="A91" s="4">
        <v>30</v>
      </c>
      <c r="B91" s="4">
        <v>71</v>
      </c>
      <c r="C91" s="4">
        <v>65</v>
      </c>
      <c r="D91" s="4">
        <v>69</v>
      </c>
    </row>
    <row r="92" spans="1:4" x14ac:dyDescent="0.2">
      <c r="A92" s="4">
        <v>30</v>
      </c>
      <c r="B92" s="4">
        <v>70</v>
      </c>
      <c r="C92" s="4">
        <v>68</v>
      </c>
      <c r="D92" s="4">
        <v>70</v>
      </c>
    </row>
    <row r="93" spans="1:4" x14ac:dyDescent="0.2">
      <c r="A93" s="4">
        <v>30</v>
      </c>
      <c r="B93" s="4">
        <v>69</v>
      </c>
      <c r="C93" s="4">
        <v>67</v>
      </c>
      <c r="D93" s="4">
        <v>68</v>
      </c>
    </row>
    <row r="94" spans="1:4" x14ac:dyDescent="0.2">
      <c r="A94" s="4">
        <v>30</v>
      </c>
      <c r="B94" s="4">
        <v>68</v>
      </c>
      <c r="C94" s="4">
        <v>65</v>
      </c>
      <c r="D94" s="4">
        <v>70</v>
      </c>
    </row>
    <row r="95" spans="1:4" x14ac:dyDescent="0.2">
      <c r="A95" s="4">
        <v>30</v>
      </c>
      <c r="B95" s="4">
        <v>68</v>
      </c>
      <c r="C95" s="4">
        <v>67</v>
      </c>
      <c r="D95" s="4">
        <v>71</v>
      </c>
    </row>
    <row r="96" spans="1:4" x14ac:dyDescent="0.2">
      <c r="A96" s="4">
        <v>30</v>
      </c>
      <c r="B96" s="4">
        <v>69</v>
      </c>
      <c r="C96" s="4">
        <v>68</v>
      </c>
      <c r="D96" s="4">
        <v>72</v>
      </c>
    </row>
    <row r="97" spans="1:4" x14ac:dyDescent="0.2">
      <c r="A97" s="4">
        <v>30</v>
      </c>
      <c r="B97" s="4">
        <v>70</v>
      </c>
      <c r="C97" s="4">
        <v>67</v>
      </c>
      <c r="D97" s="4">
        <v>68</v>
      </c>
    </row>
    <row r="98" spans="1:4" x14ac:dyDescent="0.2">
      <c r="A98" s="4">
        <v>30</v>
      </c>
      <c r="B98" s="4">
        <v>71</v>
      </c>
      <c r="C98" s="4">
        <v>68</v>
      </c>
      <c r="D98" s="4">
        <v>69</v>
      </c>
    </row>
    <row r="99" spans="1:4" x14ac:dyDescent="0.2">
      <c r="A99" s="4">
        <v>30</v>
      </c>
      <c r="B99" s="4">
        <v>72</v>
      </c>
      <c r="C99" s="4">
        <v>69</v>
      </c>
      <c r="D99" s="4">
        <v>70</v>
      </c>
    </row>
    <row r="100" spans="1:4" x14ac:dyDescent="0.2">
      <c r="A100" s="4">
        <v>30</v>
      </c>
      <c r="B100" s="4">
        <v>71</v>
      </c>
      <c r="C100" s="4">
        <v>68</v>
      </c>
      <c r="D100" s="4">
        <v>69</v>
      </c>
    </row>
    <row r="101" spans="1:4" x14ac:dyDescent="0.2">
      <c r="A101" s="4">
        <v>30</v>
      </c>
      <c r="B101" s="4">
        <v>69</v>
      </c>
      <c r="C101" s="4">
        <v>67</v>
      </c>
      <c r="D101" s="4">
        <v>68</v>
      </c>
    </row>
    <row r="102" spans="1:4" x14ac:dyDescent="0.2">
      <c r="A102" s="4">
        <v>35</v>
      </c>
      <c r="B102" s="4">
        <v>74</v>
      </c>
      <c r="C102" s="4">
        <v>74</v>
      </c>
      <c r="D102" s="4">
        <v>73</v>
      </c>
    </row>
    <row r="103" spans="1:4" x14ac:dyDescent="0.2">
      <c r="A103" s="4">
        <v>35</v>
      </c>
      <c r="B103" s="4">
        <v>75</v>
      </c>
      <c r="C103" s="4">
        <v>73</v>
      </c>
      <c r="D103" s="4">
        <v>75</v>
      </c>
    </row>
    <row r="104" spans="1:4" x14ac:dyDescent="0.2">
      <c r="A104" s="4">
        <v>35</v>
      </c>
      <c r="B104" s="4">
        <v>76</v>
      </c>
      <c r="C104" s="4">
        <v>72</v>
      </c>
      <c r="D104" s="4">
        <v>74</v>
      </c>
    </row>
    <row r="105" spans="1:4" x14ac:dyDescent="0.2">
      <c r="A105" s="4">
        <v>35</v>
      </c>
      <c r="B105" s="4">
        <v>75</v>
      </c>
      <c r="C105" s="4">
        <v>74</v>
      </c>
      <c r="D105" s="4">
        <v>72</v>
      </c>
    </row>
    <row r="106" spans="1:4" x14ac:dyDescent="0.2">
      <c r="A106" s="4">
        <v>35</v>
      </c>
      <c r="B106" s="4">
        <v>76</v>
      </c>
      <c r="C106" s="4">
        <v>75</v>
      </c>
      <c r="D106" s="4">
        <v>73</v>
      </c>
    </row>
    <row r="107" spans="1:4" x14ac:dyDescent="0.2">
      <c r="A107" s="4">
        <v>35</v>
      </c>
      <c r="B107" s="4">
        <v>76</v>
      </c>
      <c r="C107" s="4">
        <v>74</v>
      </c>
      <c r="D107" s="4">
        <v>74</v>
      </c>
    </row>
    <row r="108" spans="1:4" x14ac:dyDescent="0.2">
      <c r="A108" s="4">
        <v>35</v>
      </c>
      <c r="B108" s="4">
        <v>75</v>
      </c>
      <c r="C108" s="4">
        <v>73</v>
      </c>
      <c r="D108" s="4">
        <v>74</v>
      </c>
    </row>
    <row r="109" spans="1:4" x14ac:dyDescent="0.2">
      <c r="A109" s="4">
        <v>35</v>
      </c>
      <c r="B109" s="4">
        <v>77</v>
      </c>
      <c r="C109" s="4">
        <v>74</v>
      </c>
      <c r="D109" s="4">
        <v>73</v>
      </c>
    </row>
    <row r="110" spans="1:4" x14ac:dyDescent="0.2">
      <c r="A110" s="4">
        <v>35</v>
      </c>
      <c r="B110" s="4">
        <v>76</v>
      </c>
      <c r="C110" s="4">
        <v>75</v>
      </c>
      <c r="D110" s="4">
        <v>71</v>
      </c>
    </row>
    <row r="111" spans="1:4" x14ac:dyDescent="0.2">
      <c r="A111" s="4">
        <v>35</v>
      </c>
      <c r="B111" s="4">
        <v>77</v>
      </c>
      <c r="C111" s="4">
        <v>76</v>
      </c>
      <c r="D111" s="4">
        <v>70</v>
      </c>
    </row>
    <row r="112" spans="1:4" x14ac:dyDescent="0.2">
      <c r="A112" s="4">
        <v>35</v>
      </c>
      <c r="B112" s="4">
        <v>75</v>
      </c>
      <c r="C112" s="4">
        <v>75</v>
      </c>
      <c r="D112" s="4">
        <v>72</v>
      </c>
    </row>
    <row r="113" spans="1:4" x14ac:dyDescent="0.2">
      <c r="A113" s="4">
        <v>35</v>
      </c>
      <c r="B113" s="4">
        <v>74</v>
      </c>
      <c r="C113" s="4">
        <v>74</v>
      </c>
      <c r="D113" s="4">
        <v>74</v>
      </c>
    </row>
    <row r="114" spans="1:4" x14ac:dyDescent="0.2">
      <c r="A114" s="4">
        <v>35</v>
      </c>
      <c r="B114" s="4">
        <v>72</v>
      </c>
      <c r="C114" s="4">
        <v>75</v>
      </c>
      <c r="D114" s="4">
        <v>73</v>
      </c>
    </row>
    <row r="115" spans="1:4" x14ac:dyDescent="0.2">
      <c r="A115" s="4">
        <v>35</v>
      </c>
      <c r="B115" s="4">
        <v>74</v>
      </c>
      <c r="C115" s="4">
        <v>73</v>
      </c>
      <c r="D115" s="4">
        <v>75</v>
      </c>
    </row>
    <row r="116" spans="1:4" x14ac:dyDescent="0.2">
      <c r="A116" s="4">
        <v>35</v>
      </c>
      <c r="B116" s="4">
        <v>74</v>
      </c>
      <c r="C116" s="4">
        <v>74</v>
      </c>
      <c r="D116" s="4">
        <v>76</v>
      </c>
    </row>
    <row r="117" spans="1:4" x14ac:dyDescent="0.2">
      <c r="A117" s="4">
        <v>35</v>
      </c>
      <c r="B117" s="4">
        <v>75</v>
      </c>
      <c r="C117" s="4">
        <v>75</v>
      </c>
      <c r="D117" s="4">
        <v>73</v>
      </c>
    </row>
    <row r="118" spans="1:4" x14ac:dyDescent="0.2">
      <c r="A118" s="4">
        <v>35</v>
      </c>
      <c r="B118" s="4">
        <v>76</v>
      </c>
      <c r="C118" s="4">
        <v>74</v>
      </c>
      <c r="D118" s="4">
        <v>75</v>
      </c>
    </row>
    <row r="119" spans="1:4" x14ac:dyDescent="0.2">
      <c r="A119" s="4">
        <v>35</v>
      </c>
      <c r="B119" s="4">
        <v>75</v>
      </c>
      <c r="C119" s="4">
        <v>75</v>
      </c>
      <c r="D119" s="4">
        <v>74</v>
      </c>
    </row>
    <row r="120" spans="1:4" x14ac:dyDescent="0.2">
      <c r="A120" s="4">
        <v>35</v>
      </c>
      <c r="B120" s="4">
        <v>73</v>
      </c>
      <c r="C120" s="4">
        <v>73</v>
      </c>
      <c r="D120" s="4">
        <v>75</v>
      </c>
    </row>
    <row r="121" spans="1:4" x14ac:dyDescent="0.2">
      <c r="A121" s="4">
        <v>35</v>
      </c>
      <c r="B121" s="4">
        <v>76</v>
      </c>
      <c r="C121" s="4">
        <v>70</v>
      </c>
      <c r="D121" s="4">
        <v>76</v>
      </c>
    </row>
    <row r="122" spans="1:4" x14ac:dyDescent="0.2">
      <c r="A122" s="4">
        <v>40</v>
      </c>
      <c r="B122" s="4">
        <v>82</v>
      </c>
      <c r="C122" s="4">
        <v>84</v>
      </c>
      <c r="D122" s="4">
        <v>72</v>
      </c>
    </row>
    <row r="123" spans="1:4" x14ac:dyDescent="0.2">
      <c r="A123" s="4">
        <v>40</v>
      </c>
      <c r="B123" s="4">
        <v>83</v>
      </c>
      <c r="C123" s="4">
        <v>85</v>
      </c>
      <c r="D123" s="4">
        <v>80</v>
      </c>
    </row>
    <row r="124" spans="1:4" x14ac:dyDescent="0.2">
      <c r="A124" s="4">
        <v>40</v>
      </c>
      <c r="B124" s="4">
        <v>83</v>
      </c>
      <c r="C124" s="4">
        <v>86</v>
      </c>
      <c r="D124" s="4">
        <v>81</v>
      </c>
    </row>
    <row r="125" spans="1:4" x14ac:dyDescent="0.2">
      <c r="A125" s="4">
        <v>40</v>
      </c>
      <c r="B125" s="4">
        <v>82</v>
      </c>
      <c r="C125" s="4">
        <v>83</v>
      </c>
      <c r="D125" s="4">
        <v>83</v>
      </c>
    </row>
    <row r="126" spans="1:4" x14ac:dyDescent="0.2">
      <c r="A126" s="4">
        <v>40</v>
      </c>
      <c r="B126" s="4">
        <v>83</v>
      </c>
      <c r="C126" s="4">
        <v>84</v>
      </c>
      <c r="D126" s="4">
        <v>85</v>
      </c>
    </row>
    <row r="127" spans="1:4" x14ac:dyDescent="0.2">
      <c r="A127" s="4">
        <v>40</v>
      </c>
      <c r="B127" s="4">
        <v>84</v>
      </c>
      <c r="C127" s="4">
        <v>86</v>
      </c>
      <c r="D127" s="4">
        <v>79</v>
      </c>
    </row>
    <row r="128" spans="1:4" x14ac:dyDescent="0.2">
      <c r="A128" s="4">
        <v>40</v>
      </c>
      <c r="B128" s="4">
        <v>85</v>
      </c>
      <c r="C128" s="4">
        <v>82</v>
      </c>
      <c r="D128" s="4">
        <v>78</v>
      </c>
    </row>
    <row r="129" spans="1:4" x14ac:dyDescent="0.2">
      <c r="A129" s="4">
        <v>40</v>
      </c>
      <c r="B129" s="4">
        <v>84</v>
      </c>
      <c r="C129" s="4">
        <v>81</v>
      </c>
      <c r="D129" s="4">
        <v>76</v>
      </c>
    </row>
    <row r="130" spans="1:4" x14ac:dyDescent="0.2">
      <c r="A130" s="4">
        <v>40</v>
      </c>
      <c r="B130" s="4">
        <v>84</v>
      </c>
      <c r="C130" s="4">
        <v>84</v>
      </c>
      <c r="D130" s="4">
        <v>75</v>
      </c>
    </row>
    <row r="131" spans="1:4" x14ac:dyDescent="0.2">
      <c r="A131" s="4">
        <v>40</v>
      </c>
      <c r="B131" s="4">
        <v>85</v>
      </c>
      <c r="C131" s="4">
        <v>83</v>
      </c>
      <c r="D131" s="4">
        <v>74</v>
      </c>
    </row>
    <row r="132" spans="1:4" x14ac:dyDescent="0.2">
      <c r="A132" s="4">
        <v>40</v>
      </c>
      <c r="B132" s="4">
        <v>86</v>
      </c>
      <c r="C132" s="4">
        <v>84</v>
      </c>
      <c r="D132" s="4">
        <v>79</v>
      </c>
    </row>
    <row r="133" spans="1:4" x14ac:dyDescent="0.2">
      <c r="A133" s="4">
        <v>40</v>
      </c>
      <c r="B133" s="4">
        <v>84</v>
      </c>
      <c r="C133" s="4">
        <v>85</v>
      </c>
      <c r="D133" s="4">
        <v>76</v>
      </c>
    </row>
    <row r="134" spans="1:4" x14ac:dyDescent="0.2">
      <c r="A134" s="4">
        <v>40</v>
      </c>
      <c r="B134" s="4">
        <v>83</v>
      </c>
      <c r="C134" s="4">
        <v>83</v>
      </c>
      <c r="D134" s="4">
        <v>85</v>
      </c>
    </row>
    <row r="135" spans="1:4" x14ac:dyDescent="0.2">
      <c r="A135" s="4">
        <v>40</v>
      </c>
      <c r="B135" s="4">
        <v>84</v>
      </c>
      <c r="C135" s="4">
        <v>81</v>
      </c>
      <c r="D135" s="4">
        <v>84</v>
      </c>
    </row>
    <row r="136" spans="1:4" x14ac:dyDescent="0.2">
      <c r="A136" s="4">
        <v>40</v>
      </c>
      <c r="B136" s="4">
        <v>84</v>
      </c>
      <c r="C136" s="4">
        <v>82</v>
      </c>
      <c r="D136" s="4">
        <v>81</v>
      </c>
    </row>
    <row r="137" spans="1:4" x14ac:dyDescent="0.2">
      <c r="A137" s="4">
        <v>40</v>
      </c>
      <c r="B137" s="4">
        <v>83</v>
      </c>
      <c r="C137" s="4">
        <v>81</v>
      </c>
      <c r="D137" s="4">
        <v>82</v>
      </c>
    </row>
    <row r="138" spans="1:4" x14ac:dyDescent="0.2">
      <c r="A138" s="4">
        <v>40</v>
      </c>
      <c r="B138" s="4">
        <v>84</v>
      </c>
      <c r="C138" s="4">
        <v>80</v>
      </c>
      <c r="D138" s="4">
        <v>80</v>
      </c>
    </row>
    <row r="139" spans="1:4" x14ac:dyDescent="0.2">
      <c r="A139" s="4">
        <v>40</v>
      </c>
      <c r="B139" s="4">
        <v>82</v>
      </c>
      <c r="C139" s="4">
        <v>84</v>
      </c>
      <c r="D139" s="4">
        <v>82</v>
      </c>
    </row>
    <row r="140" spans="1:4" x14ac:dyDescent="0.2">
      <c r="A140" s="4">
        <v>40</v>
      </c>
      <c r="B140" s="4">
        <v>83</v>
      </c>
      <c r="C140" s="4">
        <v>86</v>
      </c>
      <c r="D140" s="4">
        <v>84</v>
      </c>
    </row>
    <row r="141" spans="1:4" x14ac:dyDescent="0.2">
      <c r="A141" s="4">
        <v>40</v>
      </c>
      <c r="B141" s="4">
        <v>84</v>
      </c>
      <c r="C141" s="4">
        <v>85</v>
      </c>
      <c r="D141" s="4">
        <v>85</v>
      </c>
    </row>
    <row r="142" spans="1:4" x14ac:dyDescent="0.2">
      <c r="A142" s="4">
        <v>50</v>
      </c>
      <c r="B142" s="4">
        <v>94</v>
      </c>
      <c r="C142" s="4">
        <v>98</v>
      </c>
      <c r="D142" s="4">
        <v>96</v>
      </c>
    </row>
    <row r="143" spans="1:4" x14ac:dyDescent="0.2">
      <c r="A143" s="4">
        <v>50</v>
      </c>
      <c r="B143" s="4">
        <v>95</v>
      </c>
      <c r="C143" s="4">
        <v>100</v>
      </c>
      <c r="D143" s="4">
        <v>98</v>
      </c>
    </row>
    <row r="144" spans="1:4" x14ac:dyDescent="0.2">
      <c r="A144" s="4">
        <v>50</v>
      </c>
      <c r="B144" s="4">
        <v>96</v>
      </c>
      <c r="C144" s="4">
        <v>101</v>
      </c>
      <c r="D144" s="4">
        <v>97</v>
      </c>
    </row>
    <row r="145" spans="1:4" x14ac:dyDescent="0.2">
      <c r="A145" s="4">
        <v>50</v>
      </c>
      <c r="B145" s="4">
        <v>95</v>
      </c>
      <c r="C145" s="4">
        <v>100</v>
      </c>
      <c r="D145" s="4">
        <v>98</v>
      </c>
    </row>
    <row r="146" spans="1:4" x14ac:dyDescent="0.2">
      <c r="A146" s="4">
        <v>50</v>
      </c>
      <c r="B146" s="4">
        <v>96</v>
      </c>
      <c r="C146" s="4">
        <v>103</v>
      </c>
      <c r="D146" s="4">
        <v>97</v>
      </c>
    </row>
    <row r="147" spans="1:4" x14ac:dyDescent="0.2">
      <c r="A147" s="4">
        <v>50</v>
      </c>
      <c r="B147" s="4">
        <v>94</v>
      </c>
      <c r="C147" s="4">
        <v>100</v>
      </c>
      <c r="D147" s="4">
        <v>99</v>
      </c>
    </row>
    <row r="148" spans="1:4" x14ac:dyDescent="0.2">
      <c r="A148" s="4">
        <v>50</v>
      </c>
      <c r="B148" s="4">
        <v>96</v>
      </c>
      <c r="C148" s="4">
        <v>99</v>
      </c>
      <c r="D148" s="4">
        <v>101</v>
      </c>
    </row>
    <row r="149" spans="1:4" x14ac:dyDescent="0.2">
      <c r="A149" s="4">
        <v>50</v>
      </c>
      <c r="B149" s="4">
        <v>95</v>
      </c>
      <c r="C149" s="4">
        <v>101</v>
      </c>
      <c r="D149" s="4">
        <v>103</v>
      </c>
    </row>
    <row r="150" spans="1:4" x14ac:dyDescent="0.2">
      <c r="A150" s="4">
        <v>50</v>
      </c>
      <c r="B150" s="4">
        <v>94</v>
      </c>
      <c r="C150" s="4">
        <v>102</v>
      </c>
      <c r="D150" s="4">
        <v>98</v>
      </c>
    </row>
    <row r="151" spans="1:4" x14ac:dyDescent="0.2">
      <c r="A151" s="4">
        <v>50</v>
      </c>
      <c r="B151" s="4">
        <v>93</v>
      </c>
      <c r="C151" s="4">
        <v>100</v>
      </c>
      <c r="D151" s="4">
        <v>99</v>
      </c>
    </row>
    <row r="152" spans="1:4" x14ac:dyDescent="0.2">
      <c r="A152" s="4">
        <v>50</v>
      </c>
      <c r="B152" s="4">
        <v>92</v>
      </c>
      <c r="C152" s="4">
        <v>104</v>
      </c>
      <c r="D152" s="4">
        <v>98</v>
      </c>
    </row>
    <row r="153" spans="1:4" x14ac:dyDescent="0.2">
      <c r="A153" s="4">
        <v>50</v>
      </c>
      <c r="B153" s="4">
        <v>96</v>
      </c>
      <c r="C153" s="4">
        <v>105</v>
      </c>
      <c r="D153" s="4">
        <v>97</v>
      </c>
    </row>
    <row r="154" spans="1:4" x14ac:dyDescent="0.2">
      <c r="A154" s="4">
        <v>50</v>
      </c>
      <c r="B154" s="4">
        <v>93</v>
      </c>
      <c r="C154" s="4">
        <v>97</v>
      </c>
      <c r="D154" s="4">
        <v>95</v>
      </c>
    </row>
    <row r="155" spans="1:4" x14ac:dyDescent="0.2">
      <c r="A155" s="4">
        <v>50</v>
      </c>
      <c r="B155" s="4">
        <v>94</v>
      </c>
      <c r="C155" s="4">
        <v>98</v>
      </c>
      <c r="D155" s="4">
        <v>96</v>
      </c>
    </row>
    <row r="156" spans="1:4" x14ac:dyDescent="0.2">
      <c r="A156" s="4">
        <v>50</v>
      </c>
      <c r="B156" s="4">
        <v>95</v>
      </c>
      <c r="C156" s="4">
        <v>99</v>
      </c>
      <c r="D156" s="4">
        <v>97</v>
      </c>
    </row>
    <row r="157" spans="1:4" x14ac:dyDescent="0.2">
      <c r="A157" s="4">
        <v>50</v>
      </c>
      <c r="B157" s="4">
        <v>94</v>
      </c>
      <c r="C157" s="4">
        <v>101</v>
      </c>
      <c r="D157" s="4">
        <v>98</v>
      </c>
    </row>
    <row r="158" spans="1:4" x14ac:dyDescent="0.2">
      <c r="A158" s="4">
        <v>50</v>
      </c>
      <c r="B158" s="4">
        <v>93</v>
      </c>
      <c r="C158" s="4">
        <v>102</v>
      </c>
      <c r="D158" s="4">
        <v>100</v>
      </c>
    </row>
    <row r="159" spans="1:4" x14ac:dyDescent="0.2">
      <c r="A159" s="4">
        <v>50</v>
      </c>
      <c r="B159" s="4">
        <v>96</v>
      </c>
      <c r="C159" s="4">
        <v>99</v>
      </c>
      <c r="D159" s="4">
        <v>102</v>
      </c>
    </row>
    <row r="160" spans="1:4" x14ac:dyDescent="0.2">
      <c r="A160" s="4">
        <v>50</v>
      </c>
      <c r="B160" s="4">
        <v>95</v>
      </c>
      <c r="C160" s="4">
        <v>98</v>
      </c>
      <c r="D160" s="4">
        <v>98</v>
      </c>
    </row>
    <row r="161" spans="1:4" x14ac:dyDescent="0.2">
      <c r="A161" s="4">
        <v>50</v>
      </c>
      <c r="B161" s="4">
        <v>94</v>
      </c>
      <c r="C161" s="4">
        <v>99</v>
      </c>
      <c r="D161" s="4">
        <v>97</v>
      </c>
    </row>
    <row r="162" spans="1:4" x14ac:dyDescent="0.2">
      <c r="A162" s="4">
        <v>70</v>
      </c>
      <c r="B162" s="4">
        <v>112</v>
      </c>
      <c r="C162" s="4">
        <v>106</v>
      </c>
      <c r="D162" s="4">
        <v>107</v>
      </c>
    </row>
    <row r="163" spans="1:4" x14ac:dyDescent="0.2">
      <c r="A163" s="4">
        <v>70</v>
      </c>
      <c r="B163" s="4">
        <v>114</v>
      </c>
      <c r="C163" s="4">
        <v>107</v>
      </c>
      <c r="D163" s="4">
        <v>105</v>
      </c>
    </row>
    <row r="164" spans="1:4" x14ac:dyDescent="0.2">
      <c r="A164" s="4">
        <v>70</v>
      </c>
      <c r="B164" s="4">
        <v>116</v>
      </c>
      <c r="C164" s="4">
        <v>105</v>
      </c>
      <c r="D164" s="4">
        <v>103</v>
      </c>
    </row>
    <row r="165" spans="1:4" x14ac:dyDescent="0.2">
      <c r="A165" s="4">
        <v>70</v>
      </c>
      <c r="B165" s="4">
        <v>115</v>
      </c>
      <c r="C165" s="4">
        <v>109</v>
      </c>
      <c r="D165" s="4">
        <v>117</v>
      </c>
    </row>
    <row r="166" spans="1:4" x14ac:dyDescent="0.2">
      <c r="A166" s="4">
        <v>70</v>
      </c>
      <c r="B166" s="4">
        <v>114</v>
      </c>
      <c r="C166" s="4">
        <v>108</v>
      </c>
      <c r="D166" s="4">
        <v>118</v>
      </c>
    </row>
    <row r="167" spans="1:4" x14ac:dyDescent="0.2">
      <c r="A167" s="4">
        <v>70</v>
      </c>
      <c r="B167" s="4">
        <v>116</v>
      </c>
      <c r="C167" s="4">
        <v>107</v>
      </c>
      <c r="D167" s="4">
        <v>113</v>
      </c>
    </row>
    <row r="168" spans="1:4" x14ac:dyDescent="0.2">
      <c r="A168" s="4">
        <v>70</v>
      </c>
      <c r="B168" s="4">
        <v>113</v>
      </c>
      <c r="C168" s="4">
        <v>110</v>
      </c>
      <c r="D168" s="4">
        <v>109</v>
      </c>
    </row>
    <row r="169" spans="1:4" x14ac:dyDescent="0.2">
      <c r="A169" s="4">
        <v>70</v>
      </c>
      <c r="B169" s="4">
        <v>112</v>
      </c>
      <c r="C169" s="4">
        <v>109</v>
      </c>
      <c r="D169" s="4">
        <v>110</v>
      </c>
    </row>
    <row r="170" spans="1:4" x14ac:dyDescent="0.2">
      <c r="A170" s="4">
        <v>70</v>
      </c>
      <c r="B170" s="4">
        <v>116</v>
      </c>
      <c r="C170" s="4">
        <v>105</v>
      </c>
      <c r="D170" s="4">
        <v>118</v>
      </c>
    </row>
    <row r="171" spans="1:4" x14ac:dyDescent="0.2">
      <c r="A171" s="4">
        <v>70</v>
      </c>
      <c r="B171" s="4">
        <v>117</v>
      </c>
      <c r="C171" s="4">
        <v>110</v>
      </c>
      <c r="D171" s="4">
        <v>115</v>
      </c>
    </row>
    <row r="172" spans="1:4" x14ac:dyDescent="0.2">
      <c r="A172" s="4">
        <v>70</v>
      </c>
      <c r="B172" s="4">
        <v>115</v>
      </c>
      <c r="C172" s="4">
        <v>109</v>
      </c>
      <c r="D172" s="4">
        <v>110</v>
      </c>
    </row>
    <row r="173" spans="1:4" x14ac:dyDescent="0.2">
      <c r="A173" s="4">
        <v>70</v>
      </c>
      <c r="B173" s="4">
        <v>112</v>
      </c>
      <c r="C173" s="4">
        <v>107</v>
      </c>
      <c r="D173" s="4">
        <v>113</v>
      </c>
    </row>
    <row r="174" spans="1:4" x14ac:dyDescent="0.2">
      <c r="A174" s="4">
        <v>70</v>
      </c>
      <c r="B174" s="4">
        <v>113</v>
      </c>
      <c r="C174" s="4">
        <v>108</v>
      </c>
      <c r="D174" s="4">
        <v>112</v>
      </c>
    </row>
    <row r="175" spans="1:4" x14ac:dyDescent="0.2">
      <c r="A175" s="4">
        <v>70</v>
      </c>
      <c r="B175" s="4">
        <v>110</v>
      </c>
      <c r="C175" s="4">
        <v>109</v>
      </c>
      <c r="D175" s="4">
        <v>109</v>
      </c>
    </row>
    <row r="176" spans="1:4" x14ac:dyDescent="0.2">
      <c r="A176" s="4">
        <v>70</v>
      </c>
      <c r="B176" s="4">
        <v>113</v>
      </c>
      <c r="C176" s="4">
        <v>110</v>
      </c>
      <c r="D176" s="4">
        <v>107</v>
      </c>
    </row>
    <row r="177" spans="1:4" x14ac:dyDescent="0.2">
      <c r="A177" s="4">
        <v>70</v>
      </c>
      <c r="B177" s="4">
        <v>115</v>
      </c>
      <c r="C177" s="4">
        <v>109</v>
      </c>
      <c r="D177" s="4">
        <v>111</v>
      </c>
    </row>
    <row r="178" spans="1:4" x14ac:dyDescent="0.2">
      <c r="A178" s="4">
        <v>70</v>
      </c>
      <c r="B178" s="4">
        <v>114</v>
      </c>
      <c r="C178" s="4">
        <v>111</v>
      </c>
      <c r="D178" s="4">
        <v>108</v>
      </c>
    </row>
    <row r="179" spans="1:4" x14ac:dyDescent="0.2">
      <c r="A179" s="4">
        <v>70</v>
      </c>
      <c r="B179" s="4">
        <v>113</v>
      </c>
      <c r="C179" s="4">
        <v>107</v>
      </c>
      <c r="D179" s="4">
        <v>112</v>
      </c>
    </row>
    <row r="180" spans="1:4" x14ac:dyDescent="0.2">
      <c r="A180" s="4">
        <v>70</v>
      </c>
      <c r="B180" s="4">
        <v>115</v>
      </c>
      <c r="C180" s="4">
        <v>112</v>
      </c>
      <c r="D180" s="4">
        <v>109</v>
      </c>
    </row>
    <row r="181" spans="1:4" x14ac:dyDescent="0.2">
      <c r="A181" s="4">
        <v>70</v>
      </c>
      <c r="B181" s="4">
        <v>111</v>
      </c>
      <c r="C181" s="4">
        <v>109</v>
      </c>
      <c r="D181" s="4">
        <v>105</v>
      </c>
    </row>
    <row r="182" spans="1:4" x14ac:dyDescent="0.2">
      <c r="A182" s="4">
        <v>100</v>
      </c>
      <c r="B182" s="4">
        <v>151</v>
      </c>
      <c r="C182" s="4">
        <v>147</v>
      </c>
      <c r="D182" s="4">
        <v>149</v>
      </c>
    </row>
    <row r="183" spans="1:4" x14ac:dyDescent="0.2">
      <c r="A183" s="4">
        <v>100</v>
      </c>
      <c r="B183" s="4">
        <v>150</v>
      </c>
      <c r="C183" s="4">
        <v>145</v>
      </c>
      <c r="D183" s="4">
        <v>144</v>
      </c>
    </row>
    <row r="184" spans="1:4" x14ac:dyDescent="0.2">
      <c r="A184" s="4">
        <v>100</v>
      </c>
      <c r="B184" s="4">
        <v>151</v>
      </c>
      <c r="C184" s="4">
        <v>136</v>
      </c>
      <c r="D184" s="4">
        <v>138</v>
      </c>
    </row>
    <row r="185" spans="1:4" x14ac:dyDescent="0.2">
      <c r="A185" s="4">
        <v>100</v>
      </c>
      <c r="B185" s="4">
        <v>149</v>
      </c>
      <c r="C185" s="4">
        <v>137</v>
      </c>
      <c r="D185" s="4">
        <v>140</v>
      </c>
    </row>
    <row r="186" spans="1:4" x14ac:dyDescent="0.2">
      <c r="A186" s="4">
        <v>100</v>
      </c>
      <c r="B186" s="4">
        <v>148</v>
      </c>
      <c r="C186" s="4">
        <v>142</v>
      </c>
      <c r="D186" s="4">
        <v>147</v>
      </c>
    </row>
    <row r="187" spans="1:4" x14ac:dyDescent="0.2">
      <c r="A187" s="4">
        <v>100</v>
      </c>
      <c r="B187" s="4">
        <v>146</v>
      </c>
      <c r="C187" s="4">
        <v>139</v>
      </c>
      <c r="D187" s="4">
        <v>142</v>
      </c>
    </row>
    <row r="188" spans="1:4" x14ac:dyDescent="0.2">
      <c r="A188" s="4">
        <v>100</v>
      </c>
      <c r="B188" s="4">
        <v>147</v>
      </c>
      <c r="C188" s="4">
        <v>138</v>
      </c>
      <c r="D188" s="4">
        <v>145</v>
      </c>
    </row>
    <row r="189" spans="1:4" x14ac:dyDescent="0.2">
      <c r="A189" s="4">
        <v>100</v>
      </c>
      <c r="B189" s="4">
        <v>148</v>
      </c>
      <c r="C189" s="4">
        <v>142</v>
      </c>
      <c r="D189" s="4">
        <v>150</v>
      </c>
    </row>
    <row r="190" spans="1:4" x14ac:dyDescent="0.2">
      <c r="A190" s="4">
        <v>100</v>
      </c>
      <c r="B190" s="4">
        <v>146</v>
      </c>
      <c r="C190" s="4">
        <v>143</v>
      </c>
      <c r="D190" s="4">
        <v>148</v>
      </c>
    </row>
    <row r="191" spans="1:4" x14ac:dyDescent="0.2">
      <c r="A191" s="4">
        <v>100</v>
      </c>
      <c r="B191" s="4">
        <v>147</v>
      </c>
      <c r="C191" s="4">
        <v>141</v>
      </c>
      <c r="D191" s="4">
        <v>145</v>
      </c>
    </row>
    <row r="192" spans="1:4" x14ac:dyDescent="0.2">
      <c r="A192" s="4">
        <v>100</v>
      </c>
      <c r="B192" s="4">
        <v>149</v>
      </c>
      <c r="C192" s="4">
        <v>140</v>
      </c>
      <c r="D192" s="4">
        <v>151</v>
      </c>
    </row>
    <row r="193" spans="1:4" x14ac:dyDescent="0.2">
      <c r="A193" s="4">
        <v>100</v>
      </c>
      <c r="B193" s="4">
        <v>148</v>
      </c>
      <c r="C193" s="4">
        <v>139</v>
      </c>
      <c r="D193" s="4">
        <v>139</v>
      </c>
    </row>
    <row r="194" spans="1:4" x14ac:dyDescent="0.2">
      <c r="A194" s="4">
        <v>100</v>
      </c>
      <c r="B194" s="4">
        <v>147</v>
      </c>
      <c r="C194" s="4">
        <v>138</v>
      </c>
      <c r="D194" s="4">
        <v>149</v>
      </c>
    </row>
    <row r="195" spans="1:4" x14ac:dyDescent="0.2">
      <c r="A195" s="4">
        <v>100</v>
      </c>
      <c r="B195" s="4">
        <v>149</v>
      </c>
      <c r="C195" s="4">
        <v>135</v>
      </c>
      <c r="D195" s="4">
        <v>150</v>
      </c>
    </row>
    <row r="196" spans="1:4" x14ac:dyDescent="0.2">
      <c r="A196" s="4">
        <v>100</v>
      </c>
      <c r="B196" s="4">
        <v>151</v>
      </c>
      <c r="C196" s="4">
        <v>140</v>
      </c>
      <c r="D196" s="4">
        <v>152</v>
      </c>
    </row>
    <row r="197" spans="1:4" x14ac:dyDescent="0.2">
      <c r="A197" s="4">
        <v>100</v>
      </c>
      <c r="B197" s="4">
        <v>152</v>
      </c>
      <c r="C197" s="4">
        <v>143</v>
      </c>
      <c r="D197" s="4">
        <v>148</v>
      </c>
    </row>
    <row r="198" spans="1:4" x14ac:dyDescent="0.2">
      <c r="A198" s="4">
        <v>100</v>
      </c>
      <c r="B198" s="4">
        <v>150</v>
      </c>
      <c r="C198" s="4">
        <v>139</v>
      </c>
      <c r="D198" s="4">
        <v>141</v>
      </c>
    </row>
    <row r="199" spans="1:4" x14ac:dyDescent="0.2">
      <c r="A199" s="4">
        <v>100</v>
      </c>
      <c r="B199" s="4">
        <v>151</v>
      </c>
      <c r="C199" s="4">
        <v>134</v>
      </c>
      <c r="D199" s="4">
        <v>149</v>
      </c>
    </row>
    <row r="200" spans="1:4" x14ac:dyDescent="0.2">
      <c r="A200" s="4">
        <v>100</v>
      </c>
      <c r="B200" s="4">
        <v>152</v>
      </c>
      <c r="C200" s="4">
        <v>140</v>
      </c>
      <c r="D200" s="4">
        <v>136</v>
      </c>
    </row>
    <row r="201" spans="1:4" x14ac:dyDescent="0.2">
      <c r="A201" s="4">
        <v>100</v>
      </c>
      <c r="B201" s="4">
        <v>150</v>
      </c>
      <c r="C201" s="4">
        <v>135</v>
      </c>
      <c r="D201" s="4">
        <v>152</v>
      </c>
    </row>
    <row r="202" spans="1:4" x14ac:dyDescent="0.2">
      <c r="A202" s="4">
        <v>200</v>
      </c>
      <c r="B202" s="4">
        <v>256</v>
      </c>
      <c r="C202" s="4">
        <v>241</v>
      </c>
      <c r="D202" s="4">
        <v>270</v>
      </c>
    </row>
    <row r="203" spans="1:4" x14ac:dyDescent="0.2">
      <c r="A203" s="4">
        <v>200</v>
      </c>
      <c r="B203" s="4">
        <v>255</v>
      </c>
      <c r="C203" s="4">
        <v>241</v>
      </c>
      <c r="D203" s="4">
        <v>268</v>
      </c>
    </row>
    <row r="204" spans="1:4" x14ac:dyDescent="0.2">
      <c r="A204" s="4">
        <v>200</v>
      </c>
      <c r="B204" s="4">
        <v>255</v>
      </c>
      <c r="C204" s="4">
        <v>240</v>
      </c>
      <c r="D204" s="4">
        <v>269</v>
      </c>
    </row>
    <row r="205" spans="1:4" x14ac:dyDescent="0.2">
      <c r="A205" s="4">
        <v>200</v>
      </c>
      <c r="B205" s="4">
        <v>254</v>
      </c>
      <c r="C205" s="4">
        <v>238</v>
      </c>
      <c r="D205" s="4">
        <v>267</v>
      </c>
    </row>
    <row r="206" spans="1:4" x14ac:dyDescent="0.2">
      <c r="A206" s="4">
        <v>200</v>
      </c>
      <c r="B206" s="4">
        <v>251</v>
      </c>
      <c r="C206" s="4">
        <v>239</v>
      </c>
      <c r="D206" s="4">
        <v>268</v>
      </c>
    </row>
    <row r="207" spans="1:4" x14ac:dyDescent="0.2">
      <c r="A207" s="4">
        <v>200</v>
      </c>
      <c r="B207" s="4">
        <v>252</v>
      </c>
      <c r="C207" s="4">
        <v>241</v>
      </c>
      <c r="D207" s="4">
        <v>270</v>
      </c>
    </row>
    <row r="208" spans="1:4" x14ac:dyDescent="0.2">
      <c r="A208" s="4">
        <v>200</v>
      </c>
      <c r="B208" s="4">
        <v>253</v>
      </c>
      <c r="C208" s="4">
        <v>240</v>
      </c>
      <c r="D208" s="4">
        <v>269</v>
      </c>
    </row>
    <row r="209" spans="1:4" x14ac:dyDescent="0.2">
      <c r="A209" s="4">
        <v>200</v>
      </c>
      <c r="B209" s="4">
        <v>252</v>
      </c>
      <c r="C209" s="4">
        <v>241</v>
      </c>
      <c r="D209" s="4">
        <v>267</v>
      </c>
    </row>
    <row r="210" spans="1:4" x14ac:dyDescent="0.2">
      <c r="A210" s="4">
        <v>200</v>
      </c>
      <c r="B210" s="4">
        <v>251</v>
      </c>
      <c r="C210" s="4">
        <v>242</v>
      </c>
      <c r="D210" s="4">
        <v>270</v>
      </c>
    </row>
    <row r="211" spans="1:4" x14ac:dyDescent="0.2">
      <c r="A211" s="4">
        <v>200</v>
      </c>
      <c r="B211" s="4">
        <v>250</v>
      </c>
      <c r="C211" s="4">
        <v>240</v>
      </c>
      <c r="D211" s="4">
        <v>271</v>
      </c>
    </row>
    <row r="212" spans="1:4" x14ac:dyDescent="0.2">
      <c r="A212" s="4">
        <v>200</v>
      </c>
      <c r="B212" s="4">
        <v>250</v>
      </c>
      <c r="C212" s="4">
        <v>241</v>
      </c>
      <c r="D212" s="4">
        <v>269</v>
      </c>
    </row>
    <row r="213" spans="1:4" x14ac:dyDescent="0.2">
      <c r="A213" s="4">
        <v>200</v>
      </c>
      <c r="B213" s="4">
        <v>251</v>
      </c>
      <c r="C213" s="4">
        <v>238</v>
      </c>
      <c r="D213" s="4">
        <v>268</v>
      </c>
    </row>
    <row r="214" spans="1:4" x14ac:dyDescent="0.2">
      <c r="A214" s="4">
        <v>200</v>
      </c>
      <c r="B214" s="4">
        <v>250</v>
      </c>
      <c r="C214" s="4">
        <v>243</v>
      </c>
      <c r="D214" s="4">
        <v>269</v>
      </c>
    </row>
    <row r="215" spans="1:4" x14ac:dyDescent="0.2">
      <c r="A215" s="4">
        <v>200</v>
      </c>
      <c r="B215" s="4">
        <v>251</v>
      </c>
      <c r="C215" s="4">
        <v>238</v>
      </c>
      <c r="D215" s="4">
        <v>271</v>
      </c>
    </row>
    <row r="216" spans="1:4" x14ac:dyDescent="0.2">
      <c r="A216" s="4">
        <v>200</v>
      </c>
      <c r="B216" s="4">
        <v>260</v>
      </c>
      <c r="C216" s="4">
        <v>239</v>
      </c>
      <c r="D216" s="4">
        <v>270</v>
      </c>
    </row>
    <row r="217" spans="1:4" x14ac:dyDescent="0.2">
      <c r="A217" s="4">
        <v>200</v>
      </c>
      <c r="B217" s="4">
        <v>259</v>
      </c>
      <c r="C217" s="4">
        <v>241</v>
      </c>
      <c r="D217" s="4">
        <v>269</v>
      </c>
    </row>
    <row r="218" spans="1:4" x14ac:dyDescent="0.2">
      <c r="A218" s="4">
        <v>200</v>
      </c>
      <c r="B218" s="4">
        <v>257</v>
      </c>
      <c r="C218" s="4">
        <v>242</v>
      </c>
      <c r="D218" s="4">
        <v>270</v>
      </c>
    </row>
    <row r="219" spans="1:4" x14ac:dyDescent="0.2">
      <c r="A219" s="4">
        <v>200</v>
      </c>
      <c r="B219" s="4">
        <v>262</v>
      </c>
      <c r="C219" s="4">
        <v>238</v>
      </c>
      <c r="D219" s="4">
        <v>269</v>
      </c>
    </row>
    <row r="220" spans="1:4" x14ac:dyDescent="0.2">
      <c r="A220" s="4">
        <v>200</v>
      </c>
      <c r="B220" s="4">
        <v>261</v>
      </c>
      <c r="C220" s="4">
        <v>239</v>
      </c>
      <c r="D220" s="4">
        <v>268</v>
      </c>
    </row>
    <row r="221" spans="1:4" x14ac:dyDescent="0.2">
      <c r="A221" s="4">
        <v>200</v>
      </c>
      <c r="B221" s="4">
        <v>260</v>
      </c>
      <c r="C221" s="4">
        <v>241</v>
      </c>
      <c r="D221" s="4">
        <v>271</v>
      </c>
    </row>
    <row r="222" spans="1:4" x14ac:dyDescent="0.2">
      <c r="A222" s="4">
        <v>300</v>
      </c>
      <c r="B222" s="4">
        <v>355</v>
      </c>
      <c r="C222" s="4">
        <v>381</v>
      </c>
      <c r="D222" s="4">
        <v>348</v>
      </c>
    </row>
    <row r="223" spans="1:4" x14ac:dyDescent="0.2">
      <c r="A223" s="4">
        <v>300</v>
      </c>
      <c r="B223" s="4">
        <v>356</v>
      </c>
      <c r="C223" s="4">
        <v>379</v>
      </c>
      <c r="D223" s="4">
        <v>346</v>
      </c>
    </row>
    <row r="224" spans="1:4" x14ac:dyDescent="0.2">
      <c r="A224" s="4">
        <v>300</v>
      </c>
      <c r="B224" s="4">
        <v>354</v>
      </c>
      <c r="C224" s="4">
        <v>380</v>
      </c>
      <c r="D224" s="4">
        <v>349</v>
      </c>
    </row>
    <row r="225" spans="1:4" x14ac:dyDescent="0.2">
      <c r="A225" s="4">
        <v>300</v>
      </c>
      <c r="B225" s="4">
        <v>356</v>
      </c>
      <c r="C225" s="4">
        <v>416</v>
      </c>
      <c r="D225" s="4">
        <v>344</v>
      </c>
    </row>
    <row r="226" spans="1:4" x14ac:dyDescent="0.2">
      <c r="A226" s="4">
        <v>300</v>
      </c>
      <c r="B226" s="4">
        <v>357</v>
      </c>
      <c r="C226" s="4">
        <v>405</v>
      </c>
      <c r="D226" s="4">
        <v>345</v>
      </c>
    </row>
    <row r="227" spans="1:4" x14ac:dyDescent="0.2">
      <c r="A227" s="4">
        <v>300</v>
      </c>
      <c r="B227" s="4">
        <v>355</v>
      </c>
      <c r="C227" s="4">
        <v>381</v>
      </c>
      <c r="D227" s="4">
        <v>349</v>
      </c>
    </row>
    <row r="228" spans="1:4" x14ac:dyDescent="0.2">
      <c r="A228" s="4">
        <v>300</v>
      </c>
      <c r="B228" s="4">
        <v>354</v>
      </c>
      <c r="C228" s="4">
        <v>387</v>
      </c>
      <c r="D228" s="4">
        <v>348</v>
      </c>
    </row>
    <row r="229" spans="1:4" x14ac:dyDescent="0.2">
      <c r="A229" s="4">
        <v>300</v>
      </c>
      <c r="B229" s="4">
        <v>353</v>
      </c>
      <c r="C229" s="4">
        <v>398</v>
      </c>
      <c r="D229" s="4">
        <v>346</v>
      </c>
    </row>
    <row r="230" spans="1:4" x14ac:dyDescent="0.2">
      <c r="A230" s="4">
        <v>300</v>
      </c>
      <c r="B230" s="4">
        <v>355</v>
      </c>
      <c r="C230" s="4">
        <v>391</v>
      </c>
      <c r="D230" s="4">
        <v>345</v>
      </c>
    </row>
    <row r="231" spans="1:4" x14ac:dyDescent="0.2">
      <c r="A231" s="4">
        <v>300</v>
      </c>
      <c r="B231" s="4">
        <v>352</v>
      </c>
      <c r="C231" s="4">
        <v>370</v>
      </c>
      <c r="D231" s="4">
        <v>344</v>
      </c>
    </row>
    <row r="232" spans="1:4" x14ac:dyDescent="0.2">
      <c r="A232" s="4">
        <v>300</v>
      </c>
      <c r="B232" s="4">
        <v>351</v>
      </c>
      <c r="C232" s="4">
        <v>372</v>
      </c>
      <c r="D232" s="4">
        <v>346</v>
      </c>
    </row>
    <row r="233" spans="1:4" x14ac:dyDescent="0.2">
      <c r="A233" s="4">
        <v>300</v>
      </c>
      <c r="B233" s="4">
        <v>354</v>
      </c>
      <c r="C233" s="4">
        <v>370</v>
      </c>
      <c r="D233" s="4">
        <v>344</v>
      </c>
    </row>
    <row r="234" spans="1:4" x14ac:dyDescent="0.2">
      <c r="A234" s="4">
        <v>300</v>
      </c>
      <c r="B234" s="4">
        <v>352</v>
      </c>
      <c r="C234" s="4">
        <v>371</v>
      </c>
      <c r="D234" s="4">
        <v>345</v>
      </c>
    </row>
    <row r="235" spans="1:4" x14ac:dyDescent="0.2">
      <c r="A235" s="4">
        <v>300</v>
      </c>
      <c r="B235" s="4">
        <v>351</v>
      </c>
      <c r="C235" s="4">
        <v>381</v>
      </c>
      <c r="D235" s="4">
        <v>347</v>
      </c>
    </row>
    <row r="236" spans="1:4" x14ac:dyDescent="0.2">
      <c r="A236" s="4">
        <v>300</v>
      </c>
      <c r="B236" s="4">
        <v>353</v>
      </c>
      <c r="C236" s="4">
        <v>378</v>
      </c>
      <c r="D236" s="4">
        <v>345</v>
      </c>
    </row>
    <row r="237" spans="1:4" x14ac:dyDescent="0.2">
      <c r="A237" s="4">
        <v>300</v>
      </c>
      <c r="B237" s="4">
        <v>353</v>
      </c>
      <c r="C237" s="4">
        <v>376</v>
      </c>
      <c r="D237" s="4">
        <v>346</v>
      </c>
    </row>
    <row r="238" spans="1:4" x14ac:dyDescent="0.2">
      <c r="A238" s="4">
        <v>300</v>
      </c>
      <c r="B238" s="4">
        <v>355</v>
      </c>
      <c r="C238" s="4">
        <v>374</v>
      </c>
      <c r="D238" s="4">
        <v>347</v>
      </c>
    </row>
    <row r="239" spans="1:4" x14ac:dyDescent="0.2">
      <c r="A239" s="4">
        <v>300</v>
      </c>
      <c r="B239" s="4">
        <v>354</v>
      </c>
      <c r="C239" s="4">
        <v>373</v>
      </c>
      <c r="D239" s="4">
        <v>344</v>
      </c>
    </row>
    <row r="240" spans="1:4" x14ac:dyDescent="0.2">
      <c r="A240" s="4">
        <v>300</v>
      </c>
      <c r="B240" s="4">
        <v>355</v>
      </c>
      <c r="C240" s="4">
        <v>372</v>
      </c>
      <c r="D240" s="4">
        <v>346</v>
      </c>
    </row>
    <row r="241" spans="1:4" x14ac:dyDescent="0.2">
      <c r="A241" s="4">
        <v>300</v>
      </c>
      <c r="B241" s="4">
        <v>356</v>
      </c>
      <c r="C241" s="4">
        <v>370</v>
      </c>
      <c r="D241" s="4">
        <v>345</v>
      </c>
    </row>
    <row r="242" spans="1:4" x14ac:dyDescent="0.2">
      <c r="A242" s="4">
        <v>500</v>
      </c>
      <c r="B242" s="4">
        <v>551</v>
      </c>
      <c r="C242" s="4">
        <v>556</v>
      </c>
      <c r="D242" s="4">
        <v>567</v>
      </c>
    </row>
    <row r="243" spans="1:4" x14ac:dyDescent="0.2">
      <c r="A243" s="4">
        <v>500</v>
      </c>
      <c r="B243" s="4">
        <v>552</v>
      </c>
      <c r="C243" s="4">
        <v>562</v>
      </c>
      <c r="D243" s="4">
        <v>570</v>
      </c>
    </row>
    <row r="244" spans="1:4" x14ac:dyDescent="0.2">
      <c r="A244" s="4">
        <v>500</v>
      </c>
      <c r="B244" s="4">
        <v>550</v>
      </c>
      <c r="C244" s="4">
        <v>571</v>
      </c>
      <c r="D244" s="4">
        <v>573</v>
      </c>
    </row>
    <row r="245" spans="1:4" x14ac:dyDescent="0.2">
      <c r="A245" s="4">
        <v>500</v>
      </c>
      <c r="B245" s="4">
        <v>551</v>
      </c>
      <c r="C245" s="4">
        <v>588</v>
      </c>
      <c r="D245" s="4">
        <v>565</v>
      </c>
    </row>
    <row r="246" spans="1:4" x14ac:dyDescent="0.2">
      <c r="A246" s="4">
        <v>500</v>
      </c>
      <c r="B246" s="4">
        <v>549</v>
      </c>
      <c r="C246" s="4">
        <v>580</v>
      </c>
      <c r="D246" s="4">
        <v>572</v>
      </c>
    </row>
    <row r="247" spans="1:4" x14ac:dyDescent="0.2">
      <c r="A247" s="4">
        <v>500</v>
      </c>
      <c r="B247" s="4">
        <v>548</v>
      </c>
      <c r="C247" s="4">
        <v>590</v>
      </c>
      <c r="D247" s="4">
        <v>549</v>
      </c>
    </row>
    <row r="248" spans="1:4" x14ac:dyDescent="0.2">
      <c r="A248" s="4">
        <v>500</v>
      </c>
      <c r="B248" s="4">
        <v>547</v>
      </c>
      <c r="C248" s="4">
        <v>604</v>
      </c>
      <c r="D248" s="4">
        <v>550</v>
      </c>
    </row>
    <row r="249" spans="1:4" x14ac:dyDescent="0.2">
      <c r="A249" s="4">
        <v>500</v>
      </c>
      <c r="B249" s="4">
        <v>549</v>
      </c>
      <c r="C249" s="4">
        <v>607</v>
      </c>
      <c r="D249" s="4">
        <v>553</v>
      </c>
    </row>
    <row r="250" spans="1:4" x14ac:dyDescent="0.2">
      <c r="A250" s="4">
        <v>500</v>
      </c>
      <c r="B250" s="4">
        <v>550</v>
      </c>
      <c r="C250" s="4">
        <v>611</v>
      </c>
      <c r="D250" s="4">
        <v>551</v>
      </c>
    </row>
    <row r="251" spans="1:4" x14ac:dyDescent="0.2">
      <c r="A251" s="4">
        <v>500</v>
      </c>
      <c r="B251" s="4">
        <v>549</v>
      </c>
      <c r="C251" s="4">
        <v>658</v>
      </c>
      <c r="D251" s="4">
        <v>549</v>
      </c>
    </row>
    <row r="252" spans="1:4" x14ac:dyDescent="0.2">
      <c r="A252" s="4">
        <v>500</v>
      </c>
      <c r="B252" s="4">
        <v>548</v>
      </c>
      <c r="C252" s="4">
        <v>745</v>
      </c>
      <c r="D252" s="4">
        <v>586</v>
      </c>
    </row>
    <row r="253" spans="1:4" x14ac:dyDescent="0.2">
      <c r="A253" s="4">
        <v>500</v>
      </c>
      <c r="B253" s="4">
        <v>550</v>
      </c>
      <c r="C253" s="4">
        <v>772</v>
      </c>
      <c r="D253" s="4">
        <v>594</v>
      </c>
    </row>
    <row r="254" spans="1:4" x14ac:dyDescent="0.2">
      <c r="A254" s="4">
        <v>500</v>
      </c>
      <c r="B254" s="4">
        <v>546</v>
      </c>
      <c r="C254" s="4">
        <v>756</v>
      </c>
      <c r="D254" s="4">
        <v>586</v>
      </c>
    </row>
    <row r="255" spans="1:4" x14ac:dyDescent="0.2">
      <c r="A255" s="4">
        <v>500</v>
      </c>
      <c r="B255" s="4">
        <v>549</v>
      </c>
      <c r="C255" s="4">
        <v>735</v>
      </c>
      <c r="D255" s="4">
        <v>550</v>
      </c>
    </row>
    <row r="256" spans="1:4" x14ac:dyDescent="0.2">
      <c r="A256" s="4">
        <v>500</v>
      </c>
      <c r="B256" s="4">
        <v>551</v>
      </c>
      <c r="C256" s="4">
        <v>723</v>
      </c>
      <c r="D256" s="4">
        <v>551</v>
      </c>
    </row>
    <row r="257" spans="1:4" x14ac:dyDescent="0.2">
      <c r="A257" s="4">
        <v>500</v>
      </c>
      <c r="B257" s="4">
        <v>548</v>
      </c>
      <c r="C257" s="4">
        <v>721</v>
      </c>
      <c r="D257" s="4">
        <v>565</v>
      </c>
    </row>
    <row r="258" spans="1:4" x14ac:dyDescent="0.2">
      <c r="A258" s="4">
        <v>500</v>
      </c>
      <c r="B258" s="4">
        <v>552</v>
      </c>
      <c r="C258" s="4">
        <v>704</v>
      </c>
      <c r="D258" s="4">
        <v>559</v>
      </c>
    </row>
    <row r="259" spans="1:4" x14ac:dyDescent="0.2">
      <c r="A259" s="4">
        <v>500</v>
      </c>
      <c r="B259" s="4">
        <v>551</v>
      </c>
      <c r="C259" s="4">
        <v>727</v>
      </c>
      <c r="D259" s="4">
        <v>549</v>
      </c>
    </row>
    <row r="260" spans="1:4" x14ac:dyDescent="0.2">
      <c r="A260" s="4">
        <v>500</v>
      </c>
      <c r="B260" s="4">
        <v>552</v>
      </c>
      <c r="C260" s="4">
        <v>702</v>
      </c>
      <c r="D260" s="4">
        <v>547</v>
      </c>
    </row>
    <row r="261" spans="1:4" x14ac:dyDescent="0.2">
      <c r="A261" s="4">
        <v>500</v>
      </c>
      <c r="B261" s="4">
        <v>550</v>
      </c>
      <c r="C261" s="4">
        <v>713</v>
      </c>
      <c r="D261" s="4">
        <v>550</v>
      </c>
    </row>
    <row r="262" spans="1:4" x14ac:dyDescent="0.2">
      <c r="A262" s="4">
        <v>700</v>
      </c>
      <c r="B262" s="4">
        <v>765</v>
      </c>
      <c r="C262" s="4">
        <v>776</v>
      </c>
      <c r="D262" s="4">
        <v>547</v>
      </c>
    </row>
    <row r="263" spans="1:4" x14ac:dyDescent="0.2">
      <c r="A263" s="4">
        <v>700</v>
      </c>
      <c r="B263" s="4">
        <v>775</v>
      </c>
      <c r="C263" s="4">
        <v>787</v>
      </c>
      <c r="D263" s="4">
        <v>548</v>
      </c>
    </row>
    <row r="264" spans="1:4" x14ac:dyDescent="0.2">
      <c r="A264" s="4">
        <v>700</v>
      </c>
      <c r="B264" s="4">
        <v>780</v>
      </c>
      <c r="C264" s="4">
        <v>818</v>
      </c>
      <c r="D264" s="4">
        <v>548</v>
      </c>
    </row>
    <row r="265" spans="1:4" x14ac:dyDescent="0.2">
      <c r="A265" s="4">
        <v>700</v>
      </c>
      <c r="B265" s="4">
        <v>781</v>
      </c>
      <c r="C265" s="4">
        <v>843</v>
      </c>
      <c r="D265" s="4">
        <v>550</v>
      </c>
    </row>
    <row r="266" spans="1:4" x14ac:dyDescent="0.2">
      <c r="A266" s="4">
        <v>700</v>
      </c>
      <c r="B266" s="4">
        <v>765</v>
      </c>
      <c r="C266" s="4">
        <v>852</v>
      </c>
      <c r="D266" s="4">
        <v>546</v>
      </c>
    </row>
    <row r="267" spans="1:4" x14ac:dyDescent="0.2">
      <c r="A267" s="4">
        <v>700</v>
      </c>
      <c r="B267" s="4">
        <v>766</v>
      </c>
      <c r="C267" s="4">
        <v>842</v>
      </c>
      <c r="D267" s="4">
        <v>547</v>
      </c>
    </row>
    <row r="268" spans="1:4" x14ac:dyDescent="0.2">
      <c r="A268" s="4">
        <v>700</v>
      </c>
      <c r="B268" s="4">
        <v>769</v>
      </c>
      <c r="C268" s="4">
        <v>752</v>
      </c>
      <c r="D268" s="4">
        <v>545</v>
      </c>
    </row>
    <row r="269" spans="1:4" x14ac:dyDescent="0.2">
      <c r="A269" s="4">
        <v>700</v>
      </c>
      <c r="B269" s="4">
        <v>764</v>
      </c>
      <c r="C269" s="4">
        <v>780</v>
      </c>
      <c r="D269" s="4">
        <v>770</v>
      </c>
    </row>
    <row r="270" spans="1:4" x14ac:dyDescent="0.2">
      <c r="A270" s="4">
        <v>700</v>
      </c>
      <c r="B270" s="4">
        <v>765</v>
      </c>
      <c r="C270" s="4">
        <v>724</v>
      </c>
      <c r="D270" s="4">
        <v>765</v>
      </c>
    </row>
    <row r="271" spans="1:4" x14ac:dyDescent="0.2">
      <c r="A271" s="4">
        <v>700</v>
      </c>
      <c r="B271" s="4">
        <v>761</v>
      </c>
      <c r="C271" s="4">
        <v>715</v>
      </c>
      <c r="D271" s="4">
        <v>783</v>
      </c>
    </row>
    <row r="272" spans="1:4" x14ac:dyDescent="0.2">
      <c r="A272" s="4">
        <v>700</v>
      </c>
      <c r="B272" s="4">
        <v>771</v>
      </c>
      <c r="C272" s="4">
        <v>759</v>
      </c>
      <c r="D272" s="4">
        <v>782</v>
      </c>
    </row>
    <row r="273" spans="1:4" x14ac:dyDescent="0.2">
      <c r="A273" s="4">
        <v>700</v>
      </c>
      <c r="B273" s="4">
        <v>751</v>
      </c>
      <c r="C273" s="4">
        <v>801</v>
      </c>
      <c r="D273" s="4">
        <v>782</v>
      </c>
    </row>
    <row r="274" spans="1:4" x14ac:dyDescent="0.2">
      <c r="A274" s="4">
        <v>700</v>
      </c>
      <c r="B274" s="4">
        <v>759</v>
      </c>
      <c r="C274" s="4">
        <v>785</v>
      </c>
      <c r="D274" s="4">
        <v>823</v>
      </c>
    </row>
    <row r="275" spans="1:4" x14ac:dyDescent="0.2">
      <c r="A275" s="4">
        <v>700</v>
      </c>
      <c r="B275" s="4">
        <v>764</v>
      </c>
      <c r="C275" s="4">
        <v>804</v>
      </c>
      <c r="D275" s="4">
        <v>817</v>
      </c>
    </row>
    <row r="276" spans="1:4" x14ac:dyDescent="0.2">
      <c r="A276" s="4">
        <v>700</v>
      </c>
      <c r="B276" s="4">
        <v>762</v>
      </c>
      <c r="C276" s="4">
        <v>790</v>
      </c>
      <c r="D276" s="4">
        <v>800</v>
      </c>
    </row>
    <row r="277" spans="1:4" x14ac:dyDescent="0.2">
      <c r="A277" s="4">
        <v>700</v>
      </c>
      <c r="B277" s="4">
        <v>760</v>
      </c>
      <c r="C277" s="4">
        <v>822</v>
      </c>
      <c r="D277" s="4">
        <v>788</v>
      </c>
    </row>
    <row r="278" spans="1:4" x14ac:dyDescent="0.2">
      <c r="A278" s="4">
        <v>700</v>
      </c>
      <c r="B278" s="4">
        <v>749</v>
      </c>
      <c r="C278" s="4">
        <v>829</v>
      </c>
      <c r="D278" s="4">
        <v>719</v>
      </c>
    </row>
    <row r="279" spans="1:4" x14ac:dyDescent="0.2">
      <c r="A279" s="4">
        <v>700</v>
      </c>
      <c r="B279" s="4">
        <v>776</v>
      </c>
      <c r="C279" s="4">
        <v>817</v>
      </c>
      <c r="D279" s="4">
        <v>841</v>
      </c>
    </row>
    <row r="280" spans="1:4" x14ac:dyDescent="0.2">
      <c r="A280" s="4">
        <v>700</v>
      </c>
      <c r="B280" s="4">
        <v>754</v>
      </c>
      <c r="C280" s="4">
        <v>830</v>
      </c>
      <c r="D280" s="4">
        <v>860</v>
      </c>
    </row>
    <row r="281" spans="1:4" x14ac:dyDescent="0.2">
      <c r="A281" s="4">
        <v>700</v>
      </c>
      <c r="B281" s="4">
        <v>749</v>
      </c>
      <c r="C281" s="4">
        <v>840</v>
      </c>
      <c r="D281" s="4">
        <v>819</v>
      </c>
    </row>
    <row r="282" spans="1:4" x14ac:dyDescent="0.2">
      <c r="A282" s="4">
        <v>1000</v>
      </c>
      <c r="B282" s="4">
        <v>1056</v>
      </c>
      <c r="C282" s="4">
        <v>1426</v>
      </c>
      <c r="D282" s="4">
        <v>1368</v>
      </c>
    </row>
    <row r="283" spans="1:4" x14ac:dyDescent="0.2">
      <c r="A283" s="4">
        <v>1000</v>
      </c>
      <c r="B283" s="4">
        <v>1057</v>
      </c>
      <c r="C283" s="4">
        <v>1428</v>
      </c>
      <c r="D283" s="4">
        <v>1383</v>
      </c>
    </row>
    <row r="284" spans="1:4" x14ac:dyDescent="0.2">
      <c r="A284" s="4">
        <v>1000</v>
      </c>
      <c r="B284" s="4">
        <v>1105</v>
      </c>
      <c r="C284" s="4">
        <v>1431</v>
      </c>
      <c r="D284" s="4">
        <v>1364</v>
      </c>
    </row>
    <row r="285" spans="1:4" x14ac:dyDescent="0.2">
      <c r="A285" s="4">
        <v>1000</v>
      </c>
      <c r="B285" s="4">
        <v>1078</v>
      </c>
      <c r="C285" s="4">
        <v>1435</v>
      </c>
      <c r="D285" s="4">
        <v>1363</v>
      </c>
    </row>
    <row r="286" spans="1:4" x14ac:dyDescent="0.2">
      <c r="A286" s="4">
        <v>1000</v>
      </c>
      <c r="B286" s="4">
        <v>1097</v>
      </c>
      <c r="C286" s="4">
        <v>1431</v>
      </c>
      <c r="D286" s="4">
        <v>1360</v>
      </c>
    </row>
    <row r="287" spans="1:4" x14ac:dyDescent="0.2">
      <c r="A287" s="4">
        <v>1000</v>
      </c>
      <c r="B287" s="4">
        <v>1101</v>
      </c>
      <c r="C287" s="4">
        <v>1432</v>
      </c>
      <c r="D287" s="4">
        <v>1349</v>
      </c>
    </row>
    <row r="288" spans="1:4" x14ac:dyDescent="0.2">
      <c r="A288" s="4">
        <v>1000</v>
      </c>
      <c r="B288" s="4">
        <v>1092</v>
      </c>
      <c r="C288" s="4">
        <v>1425</v>
      </c>
      <c r="D288" s="4">
        <v>1365</v>
      </c>
    </row>
    <row r="289" spans="1:4" x14ac:dyDescent="0.2">
      <c r="A289" s="4">
        <v>1000</v>
      </c>
      <c r="B289" s="4">
        <v>1078</v>
      </c>
      <c r="C289" s="4">
        <v>1429</v>
      </c>
      <c r="D289" s="4">
        <v>1322</v>
      </c>
    </row>
    <row r="290" spans="1:4" x14ac:dyDescent="0.2">
      <c r="A290" s="4">
        <v>1000</v>
      </c>
      <c r="B290" s="4">
        <v>1105</v>
      </c>
      <c r="C290" s="4">
        <v>1433</v>
      </c>
      <c r="D290" s="4">
        <v>1358</v>
      </c>
    </row>
    <row r="291" spans="1:4" x14ac:dyDescent="0.2">
      <c r="A291" s="4">
        <v>1000</v>
      </c>
      <c r="B291" s="4">
        <v>1125</v>
      </c>
      <c r="C291" s="4">
        <v>1427</v>
      </c>
      <c r="D291" s="4">
        <v>1360</v>
      </c>
    </row>
    <row r="292" spans="1:4" x14ac:dyDescent="0.2">
      <c r="A292" s="4">
        <v>1000</v>
      </c>
      <c r="B292" s="4">
        <v>1073</v>
      </c>
      <c r="C292" s="4">
        <v>1420</v>
      </c>
      <c r="D292" s="4">
        <v>1321</v>
      </c>
    </row>
    <row r="293" spans="1:4" x14ac:dyDescent="0.2">
      <c r="A293" s="4">
        <v>1000</v>
      </c>
      <c r="B293" s="4">
        <v>1064</v>
      </c>
      <c r="C293" s="4">
        <v>1425</v>
      </c>
      <c r="D293" s="4">
        <v>1341</v>
      </c>
    </row>
    <row r="294" spans="1:4" x14ac:dyDescent="0.2">
      <c r="A294" s="4">
        <v>1000</v>
      </c>
      <c r="B294" s="4">
        <v>1063</v>
      </c>
      <c r="C294" s="4">
        <v>1423</v>
      </c>
      <c r="D294" s="4">
        <v>1314</v>
      </c>
    </row>
    <row r="295" spans="1:4" x14ac:dyDescent="0.2">
      <c r="A295" s="4">
        <v>1000</v>
      </c>
      <c r="B295" s="4">
        <v>1073</v>
      </c>
      <c r="C295" s="4">
        <v>1420</v>
      </c>
      <c r="D295" s="4">
        <v>1321</v>
      </c>
    </row>
    <row r="296" spans="1:4" x14ac:dyDescent="0.2">
      <c r="A296" s="4">
        <v>1000</v>
      </c>
      <c r="B296" s="4">
        <v>1079</v>
      </c>
      <c r="C296" s="4">
        <v>1435</v>
      </c>
      <c r="D296" s="4">
        <v>1378</v>
      </c>
    </row>
    <row r="297" spans="1:4" x14ac:dyDescent="0.2">
      <c r="A297" s="4">
        <v>1000</v>
      </c>
      <c r="B297" s="4">
        <v>1064</v>
      </c>
      <c r="C297" s="4">
        <v>1440</v>
      </c>
      <c r="D297" s="4">
        <v>1378</v>
      </c>
    </row>
    <row r="298" spans="1:4" x14ac:dyDescent="0.2">
      <c r="A298" s="4">
        <v>1000</v>
      </c>
      <c r="B298" s="4">
        <v>1098</v>
      </c>
      <c r="C298" s="4">
        <v>1445</v>
      </c>
      <c r="D298" s="4">
        <v>1378</v>
      </c>
    </row>
    <row r="299" spans="1:4" x14ac:dyDescent="0.2">
      <c r="A299" s="4">
        <v>1000</v>
      </c>
      <c r="B299" s="4">
        <v>1078</v>
      </c>
      <c r="C299" s="4">
        <v>1444</v>
      </c>
      <c r="D299" s="4">
        <v>1422</v>
      </c>
    </row>
    <row r="300" spans="1:4" x14ac:dyDescent="0.2">
      <c r="A300" s="4">
        <v>1000</v>
      </c>
      <c r="B300" s="4">
        <v>1085</v>
      </c>
      <c r="C300" s="4">
        <v>1448</v>
      </c>
      <c r="D300" s="4">
        <v>1398</v>
      </c>
    </row>
    <row r="301" spans="1:4" x14ac:dyDescent="0.2">
      <c r="A301" s="4">
        <v>1000</v>
      </c>
      <c r="B301" s="4">
        <v>1148</v>
      </c>
      <c r="C301" s="4">
        <v>1449</v>
      </c>
      <c r="D301" s="4">
        <v>1396</v>
      </c>
    </row>
    <row r="302" spans="1:4" x14ac:dyDescent="0.2">
      <c r="A302" s="4">
        <v>2000</v>
      </c>
      <c r="B302" s="4">
        <v>2187</v>
      </c>
      <c r="C302" s="4">
        <v>2117</v>
      </c>
      <c r="D302" s="4">
        <v>2243</v>
      </c>
    </row>
    <row r="303" spans="1:4" x14ac:dyDescent="0.2">
      <c r="A303" s="4">
        <v>2000</v>
      </c>
      <c r="B303" s="4">
        <v>2189</v>
      </c>
      <c r="C303" s="4">
        <v>2108</v>
      </c>
      <c r="D303" s="4">
        <v>2243</v>
      </c>
    </row>
    <row r="304" spans="1:4" x14ac:dyDescent="0.2">
      <c r="A304" s="4">
        <v>2000</v>
      </c>
      <c r="B304" s="4">
        <v>2186</v>
      </c>
      <c r="C304" s="4">
        <v>2083</v>
      </c>
      <c r="D304" s="4">
        <v>2136</v>
      </c>
    </row>
    <row r="305" spans="1:4" x14ac:dyDescent="0.2">
      <c r="A305" s="4">
        <v>2000</v>
      </c>
      <c r="B305" s="4">
        <v>2186</v>
      </c>
      <c r="C305" s="4">
        <v>2083</v>
      </c>
      <c r="D305" s="4">
        <v>2136</v>
      </c>
    </row>
    <row r="306" spans="1:4" x14ac:dyDescent="0.2">
      <c r="A306" s="4">
        <v>2000</v>
      </c>
      <c r="B306" s="4">
        <v>2187</v>
      </c>
      <c r="C306" s="4">
        <v>2083</v>
      </c>
      <c r="D306" s="4">
        <v>2136</v>
      </c>
    </row>
    <row r="307" spans="1:4" x14ac:dyDescent="0.2">
      <c r="A307" s="4">
        <v>2000</v>
      </c>
      <c r="B307" s="4">
        <v>2190</v>
      </c>
      <c r="C307" s="4">
        <v>2083</v>
      </c>
      <c r="D307" s="4">
        <v>2136</v>
      </c>
    </row>
    <row r="308" spans="1:4" x14ac:dyDescent="0.2">
      <c r="A308" s="4">
        <v>2000</v>
      </c>
      <c r="B308" s="4">
        <v>2191</v>
      </c>
      <c r="C308" s="4">
        <v>2083</v>
      </c>
      <c r="D308" s="4">
        <v>2136</v>
      </c>
    </row>
    <row r="309" spans="1:4" x14ac:dyDescent="0.2">
      <c r="A309" s="4">
        <v>2000</v>
      </c>
      <c r="B309" s="4">
        <v>2190</v>
      </c>
      <c r="C309" s="4">
        <v>2083</v>
      </c>
      <c r="D309" s="4">
        <v>2136</v>
      </c>
    </row>
    <row r="310" spans="1:4" x14ac:dyDescent="0.2">
      <c r="A310" s="4">
        <v>2000</v>
      </c>
      <c r="B310" s="4">
        <v>2190</v>
      </c>
      <c r="C310" s="4">
        <v>2083</v>
      </c>
      <c r="D310" s="4">
        <v>2136</v>
      </c>
    </row>
    <row r="311" spans="1:4" x14ac:dyDescent="0.2">
      <c r="A311" s="4">
        <v>2000</v>
      </c>
      <c r="B311" s="4">
        <v>2189</v>
      </c>
      <c r="C311" s="4">
        <v>2083</v>
      </c>
      <c r="D311" s="4">
        <v>2136</v>
      </c>
    </row>
    <row r="312" spans="1:4" x14ac:dyDescent="0.2">
      <c r="A312" s="4">
        <v>2000</v>
      </c>
      <c r="B312" s="4">
        <v>2190</v>
      </c>
      <c r="C312" s="4">
        <v>2083</v>
      </c>
      <c r="D312" s="4">
        <v>2136</v>
      </c>
    </row>
    <row r="313" spans="1:4" x14ac:dyDescent="0.2">
      <c r="A313" s="4">
        <v>2000</v>
      </c>
      <c r="B313" s="4">
        <v>2191</v>
      </c>
      <c r="C313" s="4">
        <v>2083</v>
      </c>
      <c r="D313" s="4">
        <v>2136</v>
      </c>
    </row>
    <row r="314" spans="1:4" x14ac:dyDescent="0.2">
      <c r="A314" s="4">
        <v>2000</v>
      </c>
      <c r="B314" s="4">
        <v>2189</v>
      </c>
      <c r="C314" s="4">
        <v>2083</v>
      </c>
      <c r="D314" s="4">
        <v>2136</v>
      </c>
    </row>
    <row r="315" spans="1:4" x14ac:dyDescent="0.2">
      <c r="A315" s="4">
        <v>2000</v>
      </c>
      <c r="B315" s="4">
        <v>2190</v>
      </c>
      <c r="C315" s="4">
        <v>2083</v>
      </c>
      <c r="D315" s="4">
        <v>2136</v>
      </c>
    </row>
    <row r="316" spans="1:4" x14ac:dyDescent="0.2">
      <c r="A316" s="4">
        <v>2000</v>
      </c>
      <c r="B316" s="4">
        <v>2187</v>
      </c>
      <c r="C316" s="4">
        <v>2083</v>
      </c>
      <c r="D316" s="4">
        <v>2136</v>
      </c>
    </row>
    <row r="317" spans="1:4" x14ac:dyDescent="0.2">
      <c r="A317" s="4">
        <v>2000</v>
      </c>
      <c r="B317" s="4">
        <v>2188</v>
      </c>
      <c r="C317" s="4">
        <v>2083</v>
      </c>
      <c r="D317" s="4">
        <v>2136</v>
      </c>
    </row>
    <row r="318" spans="1:4" x14ac:dyDescent="0.2">
      <c r="A318" s="4">
        <v>2000</v>
      </c>
      <c r="B318" s="4">
        <v>2192</v>
      </c>
      <c r="C318" s="4">
        <v>2083</v>
      </c>
      <c r="D318" s="4">
        <v>2136</v>
      </c>
    </row>
    <row r="319" spans="1:4" x14ac:dyDescent="0.2">
      <c r="A319" s="4">
        <v>2000</v>
      </c>
      <c r="B319" s="4">
        <v>2184</v>
      </c>
      <c r="C319" s="4">
        <v>2083</v>
      </c>
      <c r="D319" s="4">
        <v>2136</v>
      </c>
    </row>
    <row r="320" spans="1:4" x14ac:dyDescent="0.2">
      <c r="A320" s="4">
        <v>2000</v>
      </c>
      <c r="B320" s="4">
        <v>2185</v>
      </c>
      <c r="C320" s="4">
        <v>2083</v>
      </c>
      <c r="D320" s="4">
        <v>2136</v>
      </c>
    </row>
    <row r="321" spans="1:4" x14ac:dyDescent="0.2">
      <c r="A321" s="4">
        <v>2000</v>
      </c>
      <c r="B321" s="4">
        <v>2186</v>
      </c>
      <c r="C321" s="4">
        <v>2083</v>
      </c>
      <c r="D321" s="4">
        <v>2136</v>
      </c>
    </row>
    <row r="322" spans="1:4" x14ac:dyDescent="0.2">
      <c r="A322" s="4">
        <v>3000</v>
      </c>
      <c r="B322" s="4">
        <v>2917</v>
      </c>
      <c r="C322" s="4">
        <v>2791</v>
      </c>
      <c r="D322" s="4">
        <v>2936</v>
      </c>
    </row>
    <row r="323" spans="1:4" x14ac:dyDescent="0.2">
      <c r="A323" s="4">
        <v>3000</v>
      </c>
      <c r="B323" s="4">
        <v>2917</v>
      </c>
      <c r="C323" s="4">
        <v>2816</v>
      </c>
      <c r="D323" s="4">
        <v>2911</v>
      </c>
    </row>
    <row r="324" spans="1:4" x14ac:dyDescent="0.2">
      <c r="A324" s="4">
        <v>3000</v>
      </c>
      <c r="B324" s="4">
        <v>2918</v>
      </c>
      <c r="C324" s="4">
        <v>2816</v>
      </c>
      <c r="D324" s="4">
        <v>2911</v>
      </c>
    </row>
    <row r="325" spans="1:4" x14ac:dyDescent="0.2">
      <c r="A325" s="4">
        <v>3000</v>
      </c>
      <c r="B325" s="4">
        <v>2917</v>
      </c>
      <c r="C325" s="4">
        <v>2816</v>
      </c>
      <c r="D325" s="4">
        <v>2911</v>
      </c>
    </row>
    <row r="326" spans="1:4" x14ac:dyDescent="0.2">
      <c r="A326" s="4">
        <v>3000</v>
      </c>
      <c r="B326" s="4">
        <v>2917</v>
      </c>
      <c r="C326" s="4">
        <v>2816</v>
      </c>
      <c r="D326" s="4">
        <v>2911</v>
      </c>
    </row>
    <row r="327" spans="1:4" x14ac:dyDescent="0.2">
      <c r="A327" s="4">
        <v>3000</v>
      </c>
      <c r="B327" s="4">
        <v>2917</v>
      </c>
      <c r="C327" s="4">
        <v>2816</v>
      </c>
      <c r="D327" s="4">
        <v>2911</v>
      </c>
    </row>
    <row r="328" spans="1:4" x14ac:dyDescent="0.2">
      <c r="A328" s="4">
        <v>3000</v>
      </c>
      <c r="B328" s="4">
        <v>2917</v>
      </c>
      <c r="C328" s="4">
        <v>2816</v>
      </c>
      <c r="D328" s="4">
        <v>2911</v>
      </c>
    </row>
    <row r="329" spans="1:4" x14ac:dyDescent="0.2">
      <c r="A329" s="4">
        <v>3000</v>
      </c>
      <c r="B329" s="4">
        <v>2917</v>
      </c>
      <c r="C329" s="4">
        <v>2816</v>
      </c>
      <c r="D329" s="4">
        <v>2911</v>
      </c>
    </row>
    <row r="330" spans="1:4" x14ac:dyDescent="0.2">
      <c r="A330" s="4">
        <v>3000</v>
      </c>
      <c r="B330" s="4">
        <v>2917</v>
      </c>
      <c r="C330" s="4">
        <v>2816</v>
      </c>
      <c r="D330" s="4">
        <v>2911</v>
      </c>
    </row>
    <row r="331" spans="1:4" x14ac:dyDescent="0.2">
      <c r="A331" s="4">
        <v>3000</v>
      </c>
      <c r="B331" s="4">
        <v>2917</v>
      </c>
      <c r="C331" s="4">
        <v>2816</v>
      </c>
      <c r="D331" s="4">
        <v>2911</v>
      </c>
    </row>
    <row r="332" spans="1:4" x14ac:dyDescent="0.2">
      <c r="A332" s="4">
        <v>3000</v>
      </c>
      <c r="B332" s="4">
        <v>2917</v>
      </c>
      <c r="C332" s="4">
        <v>2816</v>
      </c>
      <c r="D332" s="4">
        <v>2911</v>
      </c>
    </row>
    <row r="333" spans="1:4" x14ac:dyDescent="0.2">
      <c r="A333" s="4">
        <v>3000</v>
      </c>
      <c r="B333" s="4">
        <v>2917</v>
      </c>
      <c r="C333" s="4">
        <v>2816</v>
      </c>
      <c r="D333" s="4">
        <v>2911</v>
      </c>
    </row>
    <row r="334" spans="1:4" x14ac:dyDescent="0.2">
      <c r="A334" s="4">
        <v>3000</v>
      </c>
      <c r="B334" s="4">
        <v>2917</v>
      </c>
      <c r="C334" s="4">
        <v>2816</v>
      </c>
      <c r="D334" s="4">
        <v>2911</v>
      </c>
    </row>
    <row r="335" spans="1:4" x14ac:dyDescent="0.2">
      <c r="A335" s="4">
        <v>3000</v>
      </c>
      <c r="B335" s="4">
        <v>2917</v>
      </c>
      <c r="C335" s="4">
        <v>2816</v>
      </c>
      <c r="D335" s="4">
        <v>2911</v>
      </c>
    </row>
    <row r="336" spans="1:4" x14ac:dyDescent="0.2">
      <c r="A336" s="4">
        <v>3000</v>
      </c>
      <c r="B336" s="4">
        <v>2917</v>
      </c>
      <c r="C336" s="4">
        <v>2816</v>
      </c>
      <c r="D336" s="4">
        <v>2911</v>
      </c>
    </row>
    <row r="337" spans="1:4" x14ac:dyDescent="0.2">
      <c r="A337" s="4">
        <v>3000</v>
      </c>
      <c r="B337" s="4">
        <v>2917</v>
      </c>
      <c r="C337" s="4">
        <v>2816</v>
      </c>
      <c r="D337" s="4">
        <v>2911</v>
      </c>
    </row>
    <row r="338" spans="1:4" x14ac:dyDescent="0.2">
      <c r="A338" s="4">
        <v>3000</v>
      </c>
      <c r="B338" s="4">
        <v>2917</v>
      </c>
      <c r="C338" s="4">
        <v>2816</v>
      </c>
      <c r="D338" s="4">
        <v>2911</v>
      </c>
    </row>
    <row r="339" spans="1:4" x14ac:dyDescent="0.2">
      <c r="A339" s="4">
        <v>3000</v>
      </c>
      <c r="B339" s="4">
        <v>2917</v>
      </c>
      <c r="C339" s="4">
        <v>2816</v>
      </c>
      <c r="D339" s="4">
        <v>2911</v>
      </c>
    </row>
    <row r="340" spans="1:4" x14ac:dyDescent="0.2">
      <c r="A340" s="4">
        <v>3000</v>
      </c>
      <c r="B340" s="4">
        <v>2917</v>
      </c>
      <c r="C340" s="4">
        <v>2816</v>
      </c>
      <c r="D340" s="4">
        <v>2911</v>
      </c>
    </row>
    <row r="341" spans="1:4" x14ac:dyDescent="0.2">
      <c r="A341" s="4">
        <v>3000</v>
      </c>
      <c r="B341" s="4">
        <v>2917</v>
      </c>
      <c r="C341" s="4">
        <v>2816</v>
      </c>
      <c r="D341" s="4">
        <v>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6</v>
      </c>
    </row>
    <row r="2" spans="1:8" x14ac:dyDescent="0.2">
      <c r="A2" s="6" t="s">
        <v>7</v>
      </c>
      <c r="B2">
        <v>40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31</v>
      </c>
      <c r="C5" s="4">
        <v>10</v>
      </c>
      <c r="D5" s="4">
        <f t="shared" ref="D5:D44" si="0">B5^2</f>
        <v>961</v>
      </c>
      <c r="E5" s="4">
        <f t="shared" ref="E5:E44" si="1">B5^3</f>
        <v>29791</v>
      </c>
      <c r="F5" s="4">
        <f t="shared" ref="F5:F44" si="2">B5^4</f>
        <v>923521</v>
      </c>
      <c r="G5" s="4">
        <f t="shared" ref="G5:G44" si="3">B5*C5</f>
        <v>310</v>
      </c>
      <c r="H5" s="4">
        <f t="shared" ref="H5:H44" si="4">D5*C5</f>
        <v>9610</v>
      </c>
    </row>
    <row r="6" spans="1:8" x14ac:dyDescent="0.2">
      <c r="A6" s="4">
        <v>2</v>
      </c>
      <c r="B6" s="4">
        <v>30</v>
      </c>
      <c r="C6" s="4">
        <v>10</v>
      </c>
      <c r="D6" s="4">
        <f t="shared" si="0"/>
        <v>900</v>
      </c>
      <c r="E6" s="4">
        <f t="shared" si="1"/>
        <v>27000</v>
      </c>
      <c r="F6" s="4">
        <f t="shared" si="2"/>
        <v>810000</v>
      </c>
      <c r="G6" s="4">
        <f t="shared" si="3"/>
        <v>300</v>
      </c>
      <c r="H6" s="4">
        <f t="shared" si="4"/>
        <v>9000</v>
      </c>
    </row>
    <row r="7" spans="1:8" x14ac:dyDescent="0.2">
      <c r="A7" s="4">
        <v>3</v>
      </c>
      <c r="B7" s="4">
        <v>31</v>
      </c>
      <c r="C7" s="4">
        <v>10</v>
      </c>
      <c r="D7" s="4">
        <f t="shared" si="0"/>
        <v>961</v>
      </c>
      <c r="E7" s="4">
        <f t="shared" si="1"/>
        <v>29791</v>
      </c>
      <c r="F7" s="4">
        <f t="shared" si="2"/>
        <v>923521</v>
      </c>
      <c r="G7" s="4">
        <f t="shared" si="3"/>
        <v>310</v>
      </c>
      <c r="H7" s="4">
        <f t="shared" si="4"/>
        <v>9610</v>
      </c>
    </row>
    <row r="8" spans="1:8" x14ac:dyDescent="0.2">
      <c r="A8" s="4">
        <v>4</v>
      </c>
      <c r="B8" s="4">
        <v>30</v>
      </c>
      <c r="C8" s="4">
        <v>10</v>
      </c>
      <c r="D8" s="4">
        <f t="shared" si="0"/>
        <v>900</v>
      </c>
      <c r="E8" s="4">
        <f t="shared" si="1"/>
        <v>27000</v>
      </c>
      <c r="F8" s="4">
        <f t="shared" si="2"/>
        <v>810000</v>
      </c>
      <c r="G8" s="4">
        <f t="shared" si="3"/>
        <v>300</v>
      </c>
      <c r="H8" s="4">
        <f t="shared" si="4"/>
        <v>9000</v>
      </c>
    </row>
    <row r="9" spans="1:8" x14ac:dyDescent="0.2">
      <c r="A9" s="4">
        <v>5</v>
      </c>
      <c r="B9" s="4">
        <v>32</v>
      </c>
      <c r="C9" s="4">
        <v>10</v>
      </c>
      <c r="D9" s="4">
        <f t="shared" si="0"/>
        <v>1024</v>
      </c>
      <c r="E9" s="4">
        <f t="shared" si="1"/>
        <v>32768</v>
      </c>
      <c r="F9" s="4">
        <f t="shared" si="2"/>
        <v>1048576</v>
      </c>
      <c r="G9" s="4">
        <f t="shared" si="3"/>
        <v>320</v>
      </c>
      <c r="H9" s="4">
        <f t="shared" si="4"/>
        <v>10240</v>
      </c>
    </row>
    <row r="10" spans="1:8" x14ac:dyDescent="0.2">
      <c r="A10" s="4">
        <v>6</v>
      </c>
      <c r="B10" s="4">
        <v>31</v>
      </c>
      <c r="C10" s="4">
        <v>10</v>
      </c>
      <c r="D10" s="4">
        <f t="shared" si="0"/>
        <v>961</v>
      </c>
      <c r="E10" s="4">
        <f t="shared" si="1"/>
        <v>29791</v>
      </c>
      <c r="F10" s="4">
        <f t="shared" si="2"/>
        <v>923521</v>
      </c>
      <c r="G10" s="4">
        <f t="shared" si="3"/>
        <v>310</v>
      </c>
      <c r="H10" s="4">
        <f t="shared" si="4"/>
        <v>9610</v>
      </c>
    </row>
    <row r="11" spans="1:8" x14ac:dyDescent="0.2">
      <c r="A11" s="4">
        <v>7</v>
      </c>
      <c r="B11" s="4">
        <v>32</v>
      </c>
      <c r="C11" s="4">
        <v>10</v>
      </c>
      <c r="D11" s="4">
        <f t="shared" si="0"/>
        <v>1024</v>
      </c>
      <c r="E11" s="4">
        <f t="shared" si="1"/>
        <v>32768</v>
      </c>
      <c r="F11" s="4">
        <f t="shared" si="2"/>
        <v>1048576</v>
      </c>
      <c r="G11" s="4">
        <f t="shared" si="3"/>
        <v>320</v>
      </c>
      <c r="H11" s="4">
        <f t="shared" si="4"/>
        <v>10240</v>
      </c>
    </row>
    <row r="12" spans="1:8" x14ac:dyDescent="0.2">
      <c r="A12" s="4">
        <v>8</v>
      </c>
      <c r="B12" s="4">
        <v>30</v>
      </c>
      <c r="C12" s="4">
        <v>10</v>
      </c>
      <c r="D12" s="4">
        <f t="shared" si="0"/>
        <v>900</v>
      </c>
      <c r="E12" s="4">
        <f t="shared" si="1"/>
        <v>27000</v>
      </c>
      <c r="F12" s="4">
        <f t="shared" si="2"/>
        <v>810000</v>
      </c>
      <c r="G12" s="4">
        <f t="shared" si="3"/>
        <v>300</v>
      </c>
      <c r="H12" s="4">
        <f t="shared" si="4"/>
        <v>9000</v>
      </c>
    </row>
    <row r="13" spans="1:8" x14ac:dyDescent="0.2">
      <c r="A13" s="4">
        <v>9</v>
      </c>
      <c r="B13" s="4">
        <v>31</v>
      </c>
      <c r="C13" s="4">
        <v>10</v>
      </c>
      <c r="D13" s="4">
        <f t="shared" si="0"/>
        <v>961</v>
      </c>
      <c r="E13" s="4">
        <f t="shared" si="1"/>
        <v>29791</v>
      </c>
      <c r="F13" s="4">
        <f t="shared" si="2"/>
        <v>923521</v>
      </c>
      <c r="G13" s="4">
        <f t="shared" si="3"/>
        <v>310</v>
      </c>
      <c r="H13" s="4">
        <f t="shared" si="4"/>
        <v>9610</v>
      </c>
    </row>
    <row r="14" spans="1:8" x14ac:dyDescent="0.2">
      <c r="A14" s="4">
        <v>10</v>
      </c>
      <c r="B14" s="4">
        <v>31</v>
      </c>
      <c r="C14" s="4">
        <v>10</v>
      </c>
      <c r="D14" s="4">
        <f t="shared" si="0"/>
        <v>961</v>
      </c>
      <c r="E14" s="4">
        <f t="shared" si="1"/>
        <v>29791</v>
      </c>
      <c r="F14" s="4">
        <f t="shared" si="2"/>
        <v>923521</v>
      </c>
      <c r="G14" s="4">
        <f t="shared" si="3"/>
        <v>310</v>
      </c>
      <c r="H14" s="4">
        <f t="shared" si="4"/>
        <v>9610</v>
      </c>
    </row>
    <row r="15" spans="1:8" x14ac:dyDescent="0.2">
      <c r="A15" s="4">
        <v>11</v>
      </c>
      <c r="B15" s="4">
        <v>33</v>
      </c>
      <c r="C15" s="4">
        <v>10</v>
      </c>
      <c r="D15" s="4">
        <f t="shared" si="0"/>
        <v>1089</v>
      </c>
      <c r="E15" s="4">
        <f t="shared" si="1"/>
        <v>35937</v>
      </c>
      <c r="F15" s="4">
        <f t="shared" si="2"/>
        <v>1185921</v>
      </c>
      <c r="G15" s="4">
        <f t="shared" si="3"/>
        <v>330</v>
      </c>
      <c r="H15" s="4">
        <f t="shared" si="4"/>
        <v>10890</v>
      </c>
    </row>
    <row r="16" spans="1:8" x14ac:dyDescent="0.2">
      <c r="A16" s="4">
        <v>12</v>
      </c>
      <c r="B16" s="4">
        <v>32</v>
      </c>
      <c r="C16" s="4">
        <v>10</v>
      </c>
      <c r="D16" s="4">
        <f t="shared" si="0"/>
        <v>1024</v>
      </c>
      <c r="E16" s="4">
        <f t="shared" si="1"/>
        <v>32768</v>
      </c>
      <c r="F16" s="4">
        <f t="shared" si="2"/>
        <v>1048576</v>
      </c>
      <c r="G16" s="4">
        <f t="shared" si="3"/>
        <v>320</v>
      </c>
      <c r="H16" s="4">
        <f t="shared" si="4"/>
        <v>10240</v>
      </c>
    </row>
    <row r="17" spans="1:8" x14ac:dyDescent="0.2">
      <c r="A17" s="4">
        <v>13</v>
      </c>
      <c r="B17" s="4">
        <v>32</v>
      </c>
      <c r="C17" s="4">
        <v>10</v>
      </c>
      <c r="D17" s="4">
        <f t="shared" si="0"/>
        <v>1024</v>
      </c>
      <c r="E17" s="4">
        <f t="shared" si="1"/>
        <v>32768</v>
      </c>
      <c r="F17" s="4">
        <f t="shared" si="2"/>
        <v>1048576</v>
      </c>
      <c r="G17" s="4">
        <f t="shared" si="3"/>
        <v>320</v>
      </c>
      <c r="H17" s="4">
        <f t="shared" si="4"/>
        <v>10240</v>
      </c>
    </row>
    <row r="18" spans="1:8" x14ac:dyDescent="0.2">
      <c r="A18" s="4">
        <v>14</v>
      </c>
      <c r="B18" s="4">
        <v>30</v>
      </c>
      <c r="C18" s="4">
        <v>10</v>
      </c>
      <c r="D18" s="4">
        <f t="shared" si="0"/>
        <v>900</v>
      </c>
      <c r="E18" s="4">
        <f t="shared" si="1"/>
        <v>27000</v>
      </c>
      <c r="F18" s="4">
        <f t="shared" si="2"/>
        <v>810000</v>
      </c>
      <c r="G18" s="4">
        <f t="shared" si="3"/>
        <v>300</v>
      </c>
      <c r="H18" s="4">
        <f t="shared" si="4"/>
        <v>9000</v>
      </c>
    </row>
    <row r="19" spans="1:8" x14ac:dyDescent="0.2">
      <c r="A19" s="4">
        <v>15</v>
      </c>
      <c r="B19" s="4">
        <v>31</v>
      </c>
      <c r="C19" s="4">
        <v>10</v>
      </c>
      <c r="D19" s="4">
        <f t="shared" si="0"/>
        <v>961</v>
      </c>
      <c r="E19" s="4">
        <f t="shared" si="1"/>
        <v>29791</v>
      </c>
      <c r="F19" s="4">
        <f t="shared" si="2"/>
        <v>923521</v>
      </c>
      <c r="G19" s="4">
        <f t="shared" si="3"/>
        <v>310</v>
      </c>
      <c r="H19" s="4">
        <f t="shared" si="4"/>
        <v>9610</v>
      </c>
    </row>
    <row r="20" spans="1:8" x14ac:dyDescent="0.2">
      <c r="A20" s="4">
        <v>16</v>
      </c>
      <c r="B20" s="4">
        <v>32</v>
      </c>
      <c r="C20" s="4">
        <v>10</v>
      </c>
      <c r="D20" s="4">
        <f t="shared" si="0"/>
        <v>1024</v>
      </c>
      <c r="E20" s="4">
        <f t="shared" si="1"/>
        <v>32768</v>
      </c>
      <c r="F20" s="4">
        <f t="shared" si="2"/>
        <v>1048576</v>
      </c>
      <c r="G20" s="4">
        <f t="shared" si="3"/>
        <v>320</v>
      </c>
      <c r="H20" s="4">
        <f t="shared" si="4"/>
        <v>10240</v>
      </c>
    </row>
    <row r="21" spans="1:8" x14ac:dyDescent="0.2">
      <c r="A21" s="4">
        <v>17</v>
      </c>
      <c r="B21" s="4">
        <v>32</v>
      </c>
      <c r="C21" s="4">
        <v>10</v>
      </c>
      <c r="D21" s="4">
        <f t="shared" si="0"/>
        <v>1024</v>
      </c>
      <c r="E21" s="4">
        <f t="shared" si="1"/>
        <v>32768</v>
      </c>
      <c r="F21" s="4">
        <f t="shared" si="2"/>
        <v>1048576</v>
      </c>
      <c r="G21" s="4">
        <f t="shared" si="3"/>
        <v>320</v>
      </c>
      <c r="H21" s="4">
        <f t="shared" si="4"/>
        <v>10240</v>
      </c>
    </row>
    <row r="22" spans="1:8" x14ac:dyDescent="0.2">
      <c r="A22" s="4">
        <v>18</v>
      </c>
      <c r="B22" s="4">
        <v>30</v>
      </c>
      <c r="C22" s="4">
        <v>10</v>
      </c>
      <c r="D22" s="4">
        <f t="shared" si="0"/>
        <v>900</v>
      </c>
      <c r="E22" s="4">
        <f t="shared" si="1"/>
        <v>27000</v>
      </c>
      <c r="F22" s="4">
        <f t="shared" si="2"/>
        <v>810000</v>
      </c>
      <c r="G22" s="4">
        <f t="shared" si="3"/>
        <v>300</v>
      </c>
      <c r="H22" s="4">
        <f t="shared" si="4"/>
        <v>9000</v>
      </c>
    </row>
    <row r="23" spans="1:8" x14ac:dyDescent="0.2">
      <c r="A23" s="4">
        <v>19</v>
      </c>
      <c r="B23" s="4">
        <v>32</v>
      </c>
      <c r="C23" s="4">
        <v>10</v>
      </c>
      <c r="D23" s="4">
        <f t="shared" si="0"/>
        <v>1024</v>
      </c>
      <c r="E23" s="4">
        <f t="shared" si="1"/>
        <v>32768</v>
      </c>
      <c r="F23" s="4">
        <f t="shared" si="2"/>
        <v>1048576</v>
      </c>
      <c r="G23" s="4">
        <f t="shared" si="3"/>
        <v>320</v>
      </c>
      <c r="H23" s="4">
        <f t="shared" si="4"/>
        <v>10240</v>
      </c>
    </row>
    <row r="24" spans="1:8" x14ac:dyDescent="0.2">
      <c r="A24" s="4">
        <v>20</v>
      </c>
      <c r="B24" s="4">
        <v>31</v>
      </c>
      <c r="C24" s="4">
        <v>10</v>
      </c>
      <c r="D24" s="4">
        <f t="shared" si="0"/>
        <v>961</v>
      </c>
      <c r="E24" s="4">
        <f t="shared" si="1"/>
        <v>29791</v>
      </c>
      <c r="F24" s="4">
        <f t="shared" si="2"/>
        <v>923521</v>
      </c>
      <c r="G24" s="4">
        <f t="shared" si="3"/>
        <v>310</v>
      </c>
      <c r="H24" s="4">
        <f t="shared" si="4"/>
        <v>9610</v>
      </c>
    </row>
    <row r="25" spans="1:8" x14ac:dyDescent="0.2">
      <c r="A25" s="4">
        <v>21</v>
      </c>
      <c r="B25" s="4">
        <v>39</v>
      </c>
      <c r="C25" s="4">
        <v>15</v>
      </c>
      <c r="D25" s="4">
        <f t="shared" si="0"/>
        <v>1521</v>
      </c>
      <c r="E25" s="4">
        <f t="shared" si="1"/>
        <v>59319</v>
      </c>
      <c r="F25" s="4">
        <f t="shared" si="2"/>
        <v>2313441</v>
      </c>
      <c r="G25" s="4">
        <f t="shared" si="3"/>
        <v>585</v>
      </c>
      <c r="H25" s="4">
        <f t="shared" si="4"/>
        <v>22815</v>
      </c>
    </row>
    <row r="26" spans="1:8" x14ac:dyDescent="0.2">
      <c r="A26" s="4">
        <v>22</v>
      </c>
      <c r="B26" s="4">
        <v>40</v>
      </c>
      <c r="C26" s="4">
        <v>15</v>
      </c>
      <c r="D26" s="4">
        <f t="shared" si="0"/>
        <v>1600</v>
      </c>
      <c r="E26" s="4">
        <f t="shared" si="1"/>
        <v>64000</v>
      </c>
      <c r="F26" s="4">
        <f t="shared" si="2"/>
        <v>2560000</v>
      </c>
      <c r="G26" s="4">
        <f t="shared" si="3"/>
        <v>600</v>
      </c>
      <c r="H26" s="4">
        <f t="shared" si="4"/>
        <v>24000</v>
      </c>
    </row>
    <row r="27" spans="1:8" x14ac:dyDescent="0.2">
      <c r="A27" s="4">
        <v>23</v>
      </c>
      <c r="B27" s="4">
        <v>39</v>
      </c>
      <c r="C27" s="4">
        <v>15</v>
      </c>
      <c r="D27" s="4">
        <f t="shared" si="0"/>
        <v>1521</v>
      </c>
      <c r="E27" s="4">
        <f t="shared" si="1"/>
        <v>59319</v>
      </c>
      <c r="F27" s="4">
        <f t="shared" si="2"/>
        <v>2313441</v>
      </c>
      <c r="G27" s="4">
        <f t="shared" si="3"/>
        <v>585</v>
      </c>
      <c r="H27" s="4">
        <f t="shared" si="4"/>
        <v>22815</v>
      </c>
    </row>
    <row r="28" spans="1:8" x14ac:dyDescent="0.2">
      <c r="A28" s="4">
        <v>24</v>
      </c>
      <c r="B28" s="4">
        <v>40</v>
      </c>
      <c r="C28" s="4">
        <v>15</v>
      </c>
      <c r="D28" s="4">
        <f t="shared" si="0"/>
        <v>1600</v>
      </c>
      <c r="E28" s="4">
        <f t="shared" si="1"/>
        <v>64000</v>
      </c>
      <c r="F28" s="4">
        <f t="shared" si="2"/>
        <v>2560000</v>
      </c>
      <c r="G28" s="4">
        <f t="shared" si="3"/>
        <v>600</v>
      </c>
      <c r="H28" s="4">
        <f t="shared" si="4"/>
        <v>24000</v>
      </c>
    </row>
    <row r="29" spans="1:8" x14ac:dyDescent="0.2">
      <c r="A29" s="4">
        <v>25</v>
      </c>
      <c r="B29" s="4">
        <v>39</v>
      </c>
      <c r="C29" s="4">
        <v>15</v>
      </c>
      <c r="D29" s="4">
        <f t="shared" si="0"/>
        <v>1521</v>
      </c>
      <c r="E29" s="4">
        <f t="shared" si="1"/>
        <v>59319</v>
      </c>
      <c r="F29" s="4">
        <f t="shared" si="2"/>
        <v>2313441</v>
      </c>
      <c r="G29" s="4">
        <f t="shared" si="3"/>
        <v>585</v>
      </c>
      <c r="H29" s="4">
        <f t="shared" si="4"/>
        <v>22815</v>
      </c>
    </row>
    <row r="30" spans="1:8" x14ac:dyDescent="0.2">
      <c r="A30" s="4">
        <v>26</v>
      </c>
      <c r="B30" s="4">
        <v>38</v>
      </c>
      <c r="C30" s="4">
        <v>15</v>
      </c>
      <c r="D30" s="4">
        <f t="shared" si="0"/>
        <v>1444</v>
      </c>
      <c r="E30" s="4">
        <f t="shared" si="1"/>
        <v>54872</v>
      </c>
      <c r="F30" s="4">
        <f t="shared" si="2"/>
        <v>2085136</v>
      </c>
      <c r="G30" s="4">
        <f t="shared" si="3"/>
        <v>570</v>
      </c>
      <c r="H30" s="4">
        <f t="shared" si="4"/>
        <v>21660</v>
      </c>
    </row>
    <row r="31" spans="1:8" x14ac:dyDescent="0.2">
      <c r="A31" s="4">
        <v>27</v>
      </c>
      <c r="B31" s="4">
        <v>39</v>
      </c>
      <c r="C31" s="4">
        <v>15</v>
      </c>
      <c r="D31" s="4">
        <f t="shared" si="0"/>
        <v>1521</v>
      </c>
      <c r="E31" s="4">
        <f t="shared" si="1"/>
        <v>59319</v>
      </c>
      <c r="F31" s="4">
        <f t="shared" si="2"/>
        <v>2313441</v>
      </c>
      <c r="G31" s="4">
        <f t="shared" si="3"/>
        <v>585</v>
      </c>
      <c r="H31" s="4">
        <f t="shared" si="4"/>
        <v>22815</v>
      </c>
    </row>
    <row r="32" spans="1:8" x14ac:dyDescent="0.2">
      <c r="A32" s="4">
        <v>28</v>
      </c>
      <c r="B32" s="4">
        <v>40</v>
      </c>
      <c r="C32" s="4">
        <v>15</v>
      </c>
      <c r="D32" s="4">
        <f t="shared" si="0"/>
        <v>1600</v>
      </c>
      <c r="E32" s="4">
        <f t="shared" si="1"/>
        <v>64000</v>
      </c>
      <c r="F32" s="4">
        <f t="shared" si="2"/>
        <v>2560000</v>
      </c>
      <c r="G32" s="4">
        <f t="shared" si="3"/>
        <v>600</v>
      </c>
      <c r="H32" s="4">
        <f t="shared" si="4"/>
        <v>24000</v>
      </c>
    </row>
    <row r="33" spans="1:8" x14ac:dyDescent="0.2">
      <c r="A33" s="4">
        <v>29</v>
      </c>
      <c r="B33" s="4">
        <v>39</v>
      </c>
      <c r="C33" s="4">
        <v>15</v>
      </c>
      <c r="D33" s="4">
        <f t="shared" si="0"/>
        <v>1521</v>
      </c>
      <c r="E33" s="4">
        <f t="shared" si="1"/>
        <v>59319</v>
      </c>
      <c r="F33" s="4">
        <f t="shared" si="2"/>
        <v>2313441</v>
      </c>
      <c r="G33" s="4">
        <f t="shared" si="3"/>
        <v>585</v>
      </c>
      <c r="H33" s="4">
        <f t="shared" si="4"/>
        <v>22815</v>
      </c>
    </row>
    <row r="34" spans="1:8" x14ac:dyDescent="0.2">
      <c r="A34" s="4">
        <v>30</v>
      </c>
      <c r="B34" s="4">
        <v>36</v>
      </c>
      <c r="C34" s="4">
        <v>15</v>
      </c>
      <c r="D34" s="4">
        <f t="shared" si="0"/>
        <v>1296</v>
      </c>
      <c r="E34" s="4">
        <f t="shared" si="1"/>
        <v>46656</v>
      </c>
      <c r="F34" s="4">
        <f t="shared" si="2"/>
        <v>1679616</v>
      </c>
      <c r="G34" s="4">
        <f t="shared" si="3"/>
        <v>540</v>
      </c>
      <c r="H34" s="4">
        <f t="shared" si="4"/>
        <v>19440</v>
      </c>
    </row>
    <row r="35" spans="1:8" x14ac:dyDescent="0.2">
      <c r="A35" s="4">
        <v>31</v>
      </c>
      <c r="B35" s="4">
        <v>38</v>
      </c>
      <c r="C35" s="4">
        <v>15</v>
      </c>
      <c r="D35" s="4">
        <f t="shared" si="0"/>
        <v>1444</v>
      </c>
      <c r="E35" s="4">
        <f t="shared" si="1"/>
        <v>54872</v>
      </c>
      <c r="F35" s="4">
        <f t="shared" si="2"/>
        <v>2085136</v>
      </c>
      <c r="G35" s="4">
        <f t="shared" si="3"/>
        <v>570</v>
      </c>
      <c r="H35" s="4">
        <f t="shared" si="4"/>
        <v>21660</v>
      </c>
    </row>
    <row r="36" spans="1:8" x14ac:dyDescent="0.2">
      <c r="A36" s="4">
        <v>32</v>
      </c>
      <c r="B36" s="4">
        <v>40</v>
      </c>
      <c r="C36" s="4">
        <v>15</v>
      </c>
      <c r="D36" s="4">
        <f t="shared" si="0"/>
        <v>1600</v>
      </c>
      <c r="E36" s="4">
        <f t="shared" si="1"/>
        <v>64000</v>
      </c>
      <c r="F36" s="4">
        <f t="shared" si="2"/>
        <v>2560000</v>
      </c>
      <c r="G36" s="4">
        <f t="shared" si="3"/>
        <v>600</v>
      </c>
      <c r="H36" s="4">
        <f t="shared" si="4"/>
        <v>24000</v>
      </c>
    </row>
    <row r="37" spans="1:8" x14ac:dyDescent="0.2">
      <c r="A37" s="4">
        <v>33</v>
      </c>
      <c r="B37" s="4">
        <v>41</v>
      </c>
      <c r="C37" s="4">
        <v>15</v>
      </c>
      <c r="D37" s="4">
        <f t="shared" si="0"/>
        <v>1681</v>
      </c>
      <c r="E37" s="4">
        <f t="shared" si="1"/>
        <v>68921</v>
      </c>
      <c r="F37" s="4">
        <f t="shared" si="2"/>
        <v>2825761</v>
      </c>
      <c r="G37" s="4">
        <f t="shared" si="3"/>
        <v>615</v>
      </c>
      <c r="H37" s="4">
        <f t="shared" si="4"/>
        <v>25215</v>
      </c>
    </row>
    <row r="38" spans="1:8" x14ac:dyDescent="0.2">
      <c r="A38" s="4">
        <v>34</v>
      </c>
      <c r="B38" s="4">
        <v>38</v>
      </c>
      <c r="C38" s="4">
        <v>15</v>
      </c>
      <c r="D38" s="4">
        <f t="shared" si="0"/>
        <v>1444</v>
      </c>
      <c r="E38" s="4">
        <f t="shared" si="1"/>
        <v>54872</v>
      </c>
      <c r="F38" s="4">
        <f t="shared" si="2"/>
        <v>2085136</v>
      </c>
      <c r="G38" s="4">
        <f t="shared" si="3"/>
        <v>570</v>
      </c>
      <c r="H38" s="4">
        <f t="shared" si="4"/>
        <v>21660</v>
      </c>
    </row>
    <row r="39" spans="1:8" x14ac:dyDescent="0.2">
      <c r="A39" s="4">
        <v>35</v>
      </c>
      <c r="B39" s="4">
        <v>39</v>
      </c>
      <c r="C39" s="4">
        <v>15</v>
      </c>
      <c r="D39" s="4">
        <f t="shared" si="0"/>
        <v>1521</v>
      </c>
      <c r="E39" s="4">
        <f t="shared" si="1"/>
        <v>59319</v>
      </c>
      <c r="F39" s="4">
        <f t="shared" si="2"/>
        <v>2313441</v>
      </c>
      <c r="G39" s="4">
        <f t="shared" si="3"/>
        <v>585</v>
      </c>
      <c r="H39" s="4">
        <f t="shared" si="4"/>
        <v>22815</v>
      </c>
    </row>
    <row r="40" spans="1:8" x14ac:dyDescent="0.2">
      <c r="A40" s="4">
        <v>36</v>
      </c>
      <c r="B40" s="4">
        <v>40</v>
      </c>
      <c r="C40" s="4">
        <v>15</v>
      </c>
      <c r="D40" s="4">
        <f t="shared" si="0"/>
        <v>1600</v>
      </c>
      <c r="E40" s="4">
        <f t="shared" si="1"/>
        <v>64000</v>
      </c>
      <c r="F40" s="4">
        <f t="shared" si="2"/>
        <v>2560000</v>
      </c>
      <c r="G40" s="4">
        <f t="shared" si="3"/>
        <v>600</v>
      </c>
      <c r="H40" s="4">
        <f t="shared" si="4"/>
        <v>24000</v>
      </c>
    </row>
    <row r="41" spans="1:8" x14ac:dyDescent="0.2">
      <c r="A41" s="4">
        <v>37</v>
      </c>
      <c r="B41" s="4">
        <v>41</v>
      </c>
      <c r="C41" s="4">
        <v>15</v>
      </c>
      <c r="D41" s="4">
        <f t="shared" si="0"/>
        <v>1681</v>
      </c>
      <c r="E41" s="4">
        <f t="shared" si="1"/>
        <v>68921</v>
      </c>
      <c r="F41" s="4">
        <f t="shared" si="2"/>
        <v>2825761</v>
      </c>
      <c r="G41" s="4">
        <f t="shared" si="3"/>
        <v>615</v>
      </c>
      <c r="H41" s="4">
        <f t="shared" si="4"/>
        <v>25215</v>
      </c>
    </row>
    <row r="42" spans="1:8" x14ac:dyDescent="0.2">
      <c r="A42" s="4">
        <v>38</v>
      </c>
      <c r="B42" s="4">
        <v>38</v>
      </c>
      <c r="C42" s="4">
        <v>15</v>
      </c>
      <c r="D42" s="4">
        <f t="shared" si="0"/>
        <v>1444</v>
      </c>
      <c r="E42" s="4">
        <f t="shared" si="1"/>
        <v>54872</v>
      </c>
      <c r="F42" s="4">
        <f t="shared" si="2"/>
        <v>2085136</v>
      </c>
      <c r="G42" s="4">
        <f t="shared" si="3"/>
        <v>570</v>
      </c>
      <c r="H42" s="4">
        <f t="shared" si="4"/>
        <v>21660</v>
      </c>
    </row>
    <row r="43" spans="1:8" x14ac:dyDescent="0.2">
      <c r="A43" s="4">
        <v>39</v>
      </c>
      <c r="B43" s="4">
        <v>37</v>
      </c>
      <c r="C43" s="4">
        <v>15</v>
      </c>
      <c r="D43" s="4">
        <f t="shared" si="0"/>
        <v>1369</v>
      </c>
      <c r="E43" s="4">
        <f t="shared" si="1"/>
        <v>50653</v>
      </c>
      <c r="F43" s="4">
        <f t="shared" si="2"/>
        <v>1874161</v>
      </c>
      <c r="G43" s="4">
        <f t="shared" si="3"/>
        <v>555</v>
      </c>
      <c r="H43" s="4">
        <f t="shared" si="4"/>
        <v>20535</v>
      </c>
    </row>
    <row r="44" spans="1:8" x14ac:dyDescent="0.2">
      <c r="A44" s="4">
        <v>40</v>
      </c>
      <c r="B44" s="4">
        <v>39</v>
      </c>
      <c r="C44" s="4">
        <v>15</v>
      </c>
      <c r="D44" s="4">
        <f t="shared" si="0"/>
        <v>1521</v>
      </c>
      <c r="E44" s="4">
        <f t="shared" si="1"/>
        <v>59319</v>
      </c>
      <c r="F44" s="4">
        <f t="shared" si="2"/>
        <v>2313441</v>
      </c>
      <c r="G44" s="4">
        <f t="shared" si="3"/>
        <v>585</v>
      </c>
      <c r="H44" s="4">
        <f t="shared" si="4"/>
        <v>22815</v>
      </c>
    </row>
    <row r="45" spans="1:8" x14ac:dyDescent="0.2">
      <c r="A45" s="7" t="s">
        <v>16</v>
      </c>
      <c r="B45" s="7">
        <f t="shared" ref="B45:H45" si="5">SUM(B5:B44)</f>
        <v>1404</v>
      </c>
      <c r="C45" s="7">
        <f t="shared" si="5"/>
        <v>500</v>
      </c>
      <c r="D45" s="7">
        <f t="shared" si="5"/>
        <v>49934</v>
      </c>
      <c r="E45" s="7">
        <f t="shared" si="5"/>
        <v>1798722</v>
      </c>
      <c r="F45" s="7">
        <f t="shared" si="5"/>
        <v>65580530</v>
      </c>
      <c r="G45" s="7">
        <f t="shared" si="5"/>
        <v>17940</v>
      </c>
      <c r="H45" s="7">
        <f t="shared" si="5"/>
        <v>651590</v>
      </c>
    </row>
    <row r="48" spans="1:8" x14ac:dyDescent="0.2">
      <c r="A48" s="6" t="s">
        <v>17</v>
      </c>
    </row>
    <row r="49" spans="1:6" x14ac:dyDescent="0.2">
      <c r="A49" s="6" t="s">
        <v>18</v>
      </c>
      <c r="B49">
        <f>((B2*G45)-(B45*C45)) / ((B2*D45)-(B45^2))</f>
        <v>0.59669522643818851</v>
      </c>
    </row>
    <row r="50" spans="1:6" x14ac:dyDescent="0.2">
      <c r="A50" s="6" t="s">
        <v>19</v>
      </c>
      <c r="B50">
        <f>(C45-B49*B45)/B2</f>
        <v>-8.4440024479804183</v>
      </c>
    </row>
    <row r="53" spans="1:6" x14ac:dyDescent="0.2">
      <c r="A53" s="6" t="s">
        <v>20</v>
      </c>
    </row>
    <row r="54" spans="1:6" x14ac:dyDescent="0.2">
      <c r="A54" s="6" t="s">
        <v>21</v>
      </c>
    </row>
    <row r="55" spans="1:6" x14ac:dyDescent="0.2">
      <c r="B55" s="8" t="s">
        <v>7</v>
      </c>
      <c r="C55" s="8" t="s">
        <v>22</v>
      </c>
      <c r="D55" s="8" t="s">
        <v>23</v>
      </c>
      <c r="F55" s="6" t="s">
        <v>24</v>
      </c>
    </row>
    <row r="56" spans="1:6" x14ac:dyDescent="0.2">
      <c r="A56" t="s">
        <v>25</v>
      </c>
      <c r="B56">
        <f>B2</f>
        <v>40</v>
      </c>
      <c r="C56">
        <f>B45</f>
        <v>1404</v>
      </c>
      <c r="D56">
        <f>D45</f>
        <v>49934</v>
      </c>
      <c r="F56">
        <f>C45</f>
        <v>500</v>
      </c>
    </row>
    <row r="57" spans="1:6" x14ac:dyDescent="0.2">
      <c r="A57" t="s">
        <v>26</v>
      </c>
      <c r="B57">
        <f>B45</f>
        <v>1404</v>
      </c>
      <c r="C57">
        <f>D45</f>
        <v>49934</v>
      </c>
      <c r="D57">
        <f>E45</f>
        <v>1798722</v>
      </c>
      <c r="F57">
        <f>G45</f>
        <v>17940</v>
      </c>
    </row>
    <row r="58" spans="1:6" x14ac:dyDescent="0.2">
      <c r="A58" t="s">
        <v>27</v>
      </c>
      <c r="B58">
        <f>D45</f>
        <v>49934</v>
      </c>
      <c r="C58">
        <f>E45</f>
        <v>1798722</v>
      </c>
      <c r="D58">
        <f>F45</f>
        <v>65580530</v>
      </c>
      <c r="F58">
        <f>H45</f>
        <v>651590</v>
      </c>
    </row>
    <row r="60" spans="1:6" x14ac:dyDescent="0.2">
      <c r="A60" s="6" t="s">
        <v>28</v>
      </c>
    </row>
    <row r="61" spans="1:6" x14ac:dyDescent="0.2">
      <c r="A61" s="6" t="s">
        <v>29</v>
      </c>
      <c r="B61">
        <f>INDEX(MMULT(MINVERSE(B56:D58),F56:F58),1,1)</f>
        <v>-35.528339883952867</v>
      </c>
    </row>
    <row r="62" spans="1:6" x14ac:dyDescent="0.2">
      <c r="A62" s="6" t="s">
        <v>30</v>
      </c>
      <c r="B62">
        <f>INDEX(MMULT(MINVERSE(B56:D58),F56:F58),2,1)</f>
        <v>2.1552865719204419</v>
      </c>
    </row>
    <row r="63" spans="1:6" x14ac:dyDescent="0.2">
      <c r="A63" s="6" t="s">
        <v>31</v>
      </c>
      <c r="B63">
        <f>INDEX(MMULT(MINVERSE(B56:D58),F56:F58),3,1)</f>
        <v>-2.212698264941082E-2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32</v>
      </c>
    </row>
    <row r="2" spans="1:8" x14ac:dyDescent="0.2">
      <c r="A2" s="6" t="s">
        <v>7</v>
      </c>
      <c r="B2">
        <v>120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52</v>
      </c>
      <c r="C5" s="4">
        <v>20</v>
      </c>
      <c r="D5" s="4">
        <f t="shared" ref="D5:D36" si="0">B5^2</f>
        <v>2704</v>
      </c>
      <c r="E5" s="4">
        <f t="shared" ref="E5:E36" si="1">B5^3</f>
        <v>140608</v>
      </c>
      <c r="F5" s="4">
        <f t="shared" ref="F5:F36" si="2">B5^4</f>
        <v>7311616</v>
      </c>
      <c r="G5" s="4">
        <f t="shared" ref="G5:G36" si="3">B5*C5</f>
        <v>1040</v>
      </c>
      <c r="H5" s="4">
        <f t="shared" ref="H5:H36" si="4">D5*C5</f>
        <v>54080</v>
      </c>
    </row>
    <row r="6" spans="1:8" x14ac:dyDescent="0.2">
      <c r="A6" s="4">
        <v>2</v>
      </c>
      <c r="B6" s="4">
        <v>51</v>
      </c>
      <c r="C6" s="4">
        <v>20</v>
      </c>
      <c r="D6" s="4">
        <f t="shared" si="0"/>
        <v>2601</v>
      </c>
      <c r="E6" s="4">
        <f t="shared" si="1"/>
        <v>132651</v>
      </c>
      <c r="F6" s="4">
        <f t="shared" si="2"/>
        <v>6765201</v>
      </c>
      <c r="G6" s="4">
        <f t="shared" si="3"/>
        <v>1020</v>
      </c>
      <c r="H6" s="4">
        <f t="shared" si="4"/>
        <v>52020</v>
      </c>
    </row>
    <row r="7" spans="1:8" x14ac:dyDescent="0.2">
      <c r="A7" s="4">
        <v>3</v>
      </c>
      <c r="B7" s="4">
        <v>53</v>
      </c>
      <c r="C7" s="4">
        <v>20</v>
      </c>
      <c r="D7" s="4">
        <f t="shared" si="0"/>
        <v>2809</v>
      </c>
      <c r="E7" s="4">
        <f t="shared" si="1"/>
        <v>148877</v>
      </c>
      <c r="F7" s="4">
        <f t="shared" si="2"/>
        <v>7890481</v>
      </c>
      <c r="G7" s="4">
        <f t="shared" si="3"/>
        <v>1060</v>
      </c>
      <c r="H7" s="4">
        <f t="shared" si="4"/>
        <v>56180</v>
      </c>
    </row>
    <row r="8" spans="1:8" x14ac:dyDescent="0.2">
      <c r="A8" s="4">
        <v>4</v>
      </c>
      <c r="B8" s="4">
        <v>52</v>
      </c>
      <c r="C8" s="4">
        <v>20</v>
      </c>
      <c r="D8" s="4">
        <f t="shared" si="0"/>
        <v>2704</v>
      </c>
      <c r="E8" s="4">
        <f t="shared" si="1"/>
        <v>140608</v>
      </c>
      <c r="F8" s="4">
        <f t="shared" si="2"/>
        <v>7311616</v>
      </c>
      <c r="G8" s="4">
        <f t="shared" si="3"/>
        <v>1040</v>
      </c>
      <c r="H8" s="4">
        <f t="shared" si="4"/>
        <v>54080</v>
      </c>
    </row>
    <row r="9" spans="1:8" x14ac:dyDescent="0.2">
      <c r="A9" s="4">
        <v>5</v>
      </c>
      <c r="B9" s="4">
        <v>53</v>
      </c>
      <c r="C9" s="4">
        <v>20</v>
      </c>
      <c r="D9" s="4">
        <f t="shared" si="0"/>
        <v>2809</v>
      </c>
      <c r="E9" s="4">
        <f t="shared" si="1"/>
        <v>148877</v>
      </c>
      <c r="F9" s="4">
        <f t="shared" si="2"/>
        <v>7890481</v>
      </c>
      <c r="G9" s="4">
        <f t="shared" si="3"/>
        <v>1060</v>
      </c>
      <c r="H9" s="4">
        <f t="shared" si="4"/>
        <v>56180</v>
      </c>
    </row>
    <row r="10" spans="1:8" x14ac:dyDescent="0.2">
      <c r="A10" s="4">
        <v>6</v>
      </c>
      <c r="B10" s="4">
        <v>52</v>
      </c>
      <c r="C10" s="4">
        <v>20</v>
      </c>
      <c r="D10" s="4">
        <f t="shared" si="0"/>
        <v>2704</v>
      </c>
      <c r="E10" s="4">
        <f t="shared" si="1"/>
        <v>140608</v>
      </c>
      <c r="F10" s="4">
        <f t="shared" si="2"/>
        <v>7311616</v>
      </c>
      <c r="G10" s="4">
        <f t="shared" si="3"/>
        <v>1040</v>
      </c>
      <c r="H10" s="4">
        <f t="shared" si="4"/>
        <v>54080</v>
      </c>
    </row>
    <row r="11" spans="1:8" x14ac:dyDescent="0.2">
      <c r="A11" s="4">
        <v>7</v>
      </c>
      <c r="B11" s="4">
        <v>54</v>
      </c>
      <c r="C11" s="4">
        <v>20</v>
      </c>
      <c r="D11" s="4">
        <f t="shared" si="0"/>
        <v>2916</v>
      </c>
      <c r="E11" s="4">
        <f t="shared" si="1"/>
        <v>157464</v>
      </c>
      <c r="F11" s="4">
        <f t="shared" si="2"/>
        <v>8503056</v>
      </c>
      <c r="G11" s="4">
        <f t="shared" si="3"/>
        <v>1080</v>
      </c>
      <c r="H11" s="4">
        <f t="shared" si="4"/>
        <v>58320</v>
      </c>
    </row>
    <row r="12" spans="1:8" x14ac:dyDescent="0.2">
      <c r="A12" s="4">
        <v>8</v>
      </c>
      <c r="B12" s="4">
        <v>55</v>
      </c>
      <c r="C12" s="4">
        <v>20</v>
      </c>
      <c r="D12" s="4">
        <f t="shared" si="0"/>
        <v>3025</v>
      </c>
      <c r="E12" s="4">
        <f t="shared" si="1"/>
        <v>166375</v>
      </c>
      <c r="F12" s="4">
        <f t="shared" si="2"/>
        <v>9150625</v>
      </c>
      <c r="G12" s="4">
        <f t="shared" si="3"/>
        <v>1100</v>
      </c>
      <c r="H12" s="4">
        <f t="shared" si="4"/>
        <v>60500</v>
      </c>
    </row>
    <row r="13" spans="1:8" x14ac:dyDescent="0.2">
      <c r="A13" s="4">
        <v>9</v>
      </c>
      <c r="B13" s="4">
        <v>53</v>
      </c>
      <c r="C13" s="4">
        <v>20</v>
      </c>
      <c r="D13" s="4">
        <f t="shared" si="0"/>
        <v>2809</v>
      </c>
      <c r="E13" s="4">
        <f t="shared" si="1"/>
        <v>148877</v>
      </c>
      <c r="F13" s="4">
        <f t="shared" si="2"/>
        <v>7890481</v>
      </c>
      <c r="G13" s="4">
        <f t="shared" si="3"/>
        <v>1060</v>
      </c>
      <c r="H13" s="4">
        <f t="shared" si="4"/>
        <v>56180</v>
      </c>
    </row>
    <row r="14" spans="1:8" x14ac:dyDescent="0.2">
      <c r="A14" s="4">
        <v>10</v>
      </c>
      <c r="B14" s="4">
        <v>50</v>
      </c>
      <c r="C14" s="4">
        <v>20</v>
      </c>
      <c r="D14" s="4">
        <f t="shared" si="0"/>
        <v>2500</v>
      </c>
      <c r="E14" s="4">
        <f t="shared" si="1"/>
        <v>125000</v>
      </c>
      <c r="F14" s="4">
        <f t="shared" si="2"/>
        <v>6250000</v>
      </c>
      <c r="G14" s="4">
        <f t="shared" si="3"/>
        <v>1000</v>
      </c>
      <c r="H14" s="4">
        <f t="shared" si="4"/>
        <v>50000</v>
      </c>
    </row>
    <row r="15" spans="1:8" x14ac:dyDescent="0.2">
      <c r="A15" s="4">
        <v>11</v>
      </c>
      <c r="B15" s="4">
        <v>54</v>
      </c>
      <c r="C15" s="4">
        <v>20</v>
      </c>
      <c r="D15" s="4">
        <f t="shared" si="0"/>
        <v>2916</v>
      </c>
      <c r="E15" s="4">
        <f t="shared" si="1"/>
        <v>157464</v>
      </c>
      <c r="F15" s="4">
        <f t="shared" si="2"/>
        <v>8503056</v>
      </c>
      <c r="G15" s="4">
        <f t="shared" si="3"/>
        <v>1080</v>
      </c>
      <c r="H15" s="4">
        <f t="shared" si="4"/>
        <v>58320</v>
      </c>
    </row>
    <row r="16" spans="1:8" x14ac:dyDescent="0.2">
      <c r="A16" s="4">
        <v>12</v>
      </c>
      <c r="B16" s="4">
        <v>52</v>
      </c>
      <c r="C16" s="4">
        <v>20</v>
      </c>
      <c r="D16" s="4">
        <f t="shared" si="0"/>
        <v>2704</v>
      </c>
      <c r="E16" s="4">
        <f t="shared" si="1"/>
        <v>140608</v>
      </c>
      <c r="F16" s="4">
        <f t="shared" si="2"/>
        <v>7311616</v>
      </c>
      <c r="G16" s="4">
        <f t="shared" si="3"/>
        <v>1040</v>
      </c>
      <c r="H16" s="4">
        <f t="shared" si="4"/>
        <v>54080</v>
      </c>
    </row>
    <row r="17" spans="1:8" x14ac:dyDescent="0.2">
      <c r="A17" s="4">
        <v>13</v>
      </c>
      <c r="B17" s="4">
        <v>53</v>
      </c>
      <c r="C17" s="4">
        <v>20</v>
      </c>
      <c r="D17" s="4">
        <f t="shared" si="0"/>
        <v>2809</v>
      </c>
      <c r="E17" s="4">
        <f t="shared" si="1"/>
        <v>148877</v>
      </c>
      <c r="F17" s="4">
        <f t="shared" si="2"/>
        <v>7890481</v>
      </c>
      <c r="G17" s="4">
        <f t="shared" si="3"/>
        <v>1060</v>
      </c>
      <c r="H17" s="4">
        <f t="shared" si="4"/>
        <v>56180</v>
      </c>
    </row>
    <row r="18" spans="1:8" x14ac:dyDescent="0.2">
      <c r="A18" s="4">
        <v>14</v>
      </c>
      <c r="B18" s="4">
        <v>52</v>
      </c>
      <c r="C18" s="4">
        <v>20</v>
      </c>
      <c r="D18" s="4">
        <f t="shared" si="0"/>
        <v>2704</v>
      </c>
      <c r="E18" s="4">
        <f t="shared" si="1"/>
        <v>140608</v>
      </c>
      <c r="F18" s="4">
        <f t="shared" si="2"/>
        <v>7311616</v>
      </c>
      <c r="G18" s="4">
        <f t="shared" si="3"/>
        <v>1040</v>
      </c>
      <c r="H18" s="4">
        <f t="shared" si="4"/>
        <v>54080</v>
      </c>
    </row>
    <row r="19" spans="1:8" x14ac:dyDescent="0.2">
      <c r="A19" s="4">
        <v>15</v>
      </c>
      <c r="B19" s="4">
        <v>54</v>
      </c>
      <c r="C19" s="4">
        <v>20</v>
      </c>
      <c r="D19" s="4">
        <f t="shared" si="0"/>
        <v>2916</v>
      </c>
      <c r="E19" s="4">
        <f t="shared" si="1"/>
        <v>157464</v>
      </c>
      <c r="F19" s="4">
        <f t="shared" si="2"/>
        <v>8503056</v>
      </c>
      <c r="G19" s="4">
        <f t="shared" si="3"/>
        <v>1080</v>
      </c>
      <c r="H19" s="4">
        <f t="shared" si="4"/>
        <v>58320</v>
      </c>
    </row>
    <row r="20" spans="1:8" x14ac:dyDescent="0.2">
      <c r="A20" s="4">
        <v>16</v>
      </c>
      <c r="B20" s="4">
        <v>55</v>
      </c>
      <c r="C20" s="4">
        <v>20</v>
      </c>
      <c r="D20" s="4">
        <f t="shared" si="0"/>
        <v>3025</v>
      </c>
      <c r="E20" s="4">
        <f t="shared" si="1"/>
        <v>166375</v>
      </c>
      <c r="F20" s="4">
        <f t="shared" si="2"/>
        <v>9150625</v>
      </c>
      <c r="G20" s="4">
        <f t="shared" si="3"/>
        <v>1100</v>
      </c>
      <c r="H20" s="4">
        <f t="shared" si="4"/>
        <v>60500</v>
      </c>
    </row>
    <row r="21" spans="1:8" x14ac:dyDescent="0.2">
      <c r="A21" s="4">
        <v>17</v>
      </c>
      <c r="B21" s="4">
        <v>53</v>
      </c>
      <c r="C21" s="4">
        <v>20</v>
      </c>
      <c r="D21" s="4">
        <f t="shared" si="0"/>
        <v>2809</v>
      </c>
      <c r="E21" s="4">
        <f t="shared" si="1"/>
        <v>148877</v>
      </c>
      <c r="F21" s="4">
        <f t="shared" si="2"/>
        <v>7890481</v>
      </c>
      <c r="G21" s="4">
        <f t="shared" si="3"/>
        <v>1060</v>
      </c>
      <c r="H21" s="4">
        <f t="shared" si="4"/>
        <v>56180</v>
      </c>
    </row>
    <row r="22" spans="1:8" x14ac:dyDescent="0.2">
      <c r="A22" s="4">
        <v>18</v>
      </c>
      <c r="B22" s="4">
        <v>52</v>
      </c>
      <c r="C22" s="4">
        <v>20</v>
      </c>
      <c r="D22" s="4">
        <f t="shared" si="0"/>
        <v>2704</v>
      </c>
      <c r="E22" s="4">
        <f t="shared" si="1"/>
        <v>140608</v>
      </c>
      <c r="F22" s="4">
        <f t="shared" si="2"/>
        <v>7311616</v>
      </c>
      <c r="G22" s="4">
        <f t="shared" si="3"/>
        <v>1040</v>
      </c>
      <c r="H22" s="4">
        <f t="shared" si="4"/>
        <v>54080</v>
      </c>
    </row>
    <row r="23" spans="1:8" x14ac:dyDescent="0.2">
      <c r="A23" s="4">
        <v>19</v>
      </c>
      <c r="B23" s="4">
        <v>51</v>
      </c>
      <c r="C23" s="4">
        <v>20</v>
      </c>
      <c r="D23" s="4">
        <f t="shared" si="0"/>
        <v>2601</v>
      </c>
      <c r="E23" s="4">
        <f t="shared" si="1"/>
        <v>132651</v>
      </c>
      <c r="F23" s="4">
        <f t="shared" si="2"/>
        <v>6765201</v>
      </c>
      <c r="G23" s="4">
        <f t="shared" si="3"/>
        <v>1020</v>
      </c>
      <c r="H23" s="4">
        <f t="shared" si="4"/>
        <v>52020</v>
      </c>
    </row>
    <row r="24" spans="1:8" x14ac:dyDescent="0.2">
      <c r="A24" s="4">
        <v>20</v>
      </c>
      <c r="B24" s="4">
        <v>54</v>
      </c>
      <c r="C24" s="4">
        <v>20</v>
      </c>
      <c r="D24" s="4">
        <f t="shared" si="0"/>
        <v>2916</v>
      </c>
      <c r="E24" s="4">
        <f t="shared" si="1"/>
        <v>157464</v>
      </c>
      <c r="F24" s="4">
        <f t="shared" si="2"/>
        <v>8503056</v>
      </c>
      <c r="G24" s="4">
        <f t="shared" si="3"/>
        <v>1080</v>
      </c>
      <c r="H24" s="4">
        <f t="shared" si="4"/>
        <v>58320</v>
      </c>
    </row>
    <row r="25" spans="1:8" x14ac:dyDescent="0.2">
      <c r="A25" s="4">
        <v>21</v>
      </c>
      <c r="B25" s="4">
        <v>59</v>
      </c>
      <c r="C25" s="4">
        <v>25</v>
      </c>
      <c r="D25" s="4">
        <f t="shared" si="0"/>
        <v>3481</v>
      </c>
      <c r="E25" s="4">
        <f t="shared" si="1"/>
        <v>205379</v>
      </c>
      <c r="F25" s="4">
        <f t="shared" si="2"/>
        <v>12117361</v>
      </c>
      <c r="G25" s="4">
        <f t="shared" si="3"/>
        <v>1475</v>
      </c>
      <c r="H25" s="4">
        <f t="shared" si="4"/>
        <v>87025</v>
      </c>
    </row>
    <row r="26" spans="1:8" x14ac:dyDescent="0.2">
      <c r="A26" s="4">
        <v>22</v>
      </c>
      <c r="B26" s="4">
        <v>60</v>
      </c>
      <c r="C26" s="4">
        <v>25</v>
      </c>
      <c r="D26" s="4">
        <f t="shared" si="0"/>
        <v>3600</v>
      </c>
      <c r="E26" s="4">
        <f t="shared" si="1"/>
        <v>216000</v>
      </c>
      <c r="F26" s="4">
        <f t="shared" si="2"/>
        <v>12960000</v>
      </c>
      <c r="G26" s="4">
        <f t="shared" si="3"/>
        <v>1500</v>
      </c>
      <c r="H26" s="4">
        <f t="shared" si="4"/>
        <v>90000</v>
      </c>
    </row>
    <row r="27" spans="1:8" x14ac:dyDescent="0.2">
      <c r="A27" s="4">
        <v>23</v>
      </c>
      <c r="B27" s="4">
        <v>61</v>
      </c>
      <c r="C27" s="4">
        <v>25</v>
      </c>
      <c r="D27" s="4">
        <f t="shared" si="0"/>
        <v>3721</v>
      </c>
      <c r="E27" s="4">
        <f t="shared" si="1"/>
        <v>226981</v>
      </c>
      <c r="F27" s="4">
        <f t="shared" si="2"/>
        <v>13845841</v>
      </c>
      <c r="G27" s="4">
        <f t="shared" si="3"/>
        <v>1525</v>
      </c>
      <c r="H27" s="4">
        <f t="shared" si="4"/>
        <v>93025</v>
      </c>
    </row>
    <row r="28" spans="1:8" x14ac:dyDescent="0.2">
      <c r="A28" s="4">
        <v>24</v>
      </c>
      <c r="B28" s="4">
        <v>60</v>
      </c>
      <c r="C28" s="4">
        <v>25</v>
      </c>
      <c r="D28" s="4">
        <f t="shared" si="0"/>
        <v>3600</v>
      </c>
      <c r="E28" s="4">
        <f t="shared" si="1"/>
        <v>216000</v>
      </c>
      <c r="F28" s="4">
        <f t="shared" si="2"/>
        <v>12960000</v>
      </c>
      <c r="G28" s="4">
        <f t="shared" si="3"/>
        <v>1500</v>
      </c>
      <c r="H28" s="4">
        <f t="shared" si="4"/>
        <v>90000</v>
      </c>
    </row>
    <row r="29" spans="1:8" x14ac:dyDescent="0.2">
      <c r="A29" s="4">
        <v>25</v>
      </c>
      <c r="B29" s="4">
        <v>61</v>
      </c>
      <c r="C29" s="4">
        <v>25</v>
      </c>
      <c r="D29" s="4">
        <f t="shared" si="0"/>
        <v>3721</v>
      </c>
      <c r="E29" s="4">
        <f t="shared" si="1"/>
        <v>226981</v>
      </c>
      <c r="F29" s="4">
        <f t="shared" si="2"/>
        <v>13845841</v>
      </c>
      <c r="G29" s="4">
        <f t="shared" si="3"/>
        <v>1525</v>
      </c>
      <c r="H29" s="4">
        <f t="shared" si="4"/>
        <v>93025</v>
      </c>
    </row>
    <row r="30" spans="1:8" x14ac:dyDescent="0.2">
      <c r="A30" s="4">
        <v>26</v>
      </c>
      <c r="B30" s="4">
        <v>62</v>
      </c>
      <c r="C30" s="4">
        <v>25</v>
      </c>
      <c r="D30" s="4">
        <f t="shared" si="0"/>
        <v>3844</v>
      </c>
      <c r="E30" s="4">
        <f t="shared" si="1"/>
        <v>238328</v>
      </c>
      <c r="F30" s="4">
        <f t="shared" si="2"/>
        <v>14776336</v>
      </c>
      <c r="G30" s="4">
        <f t="shared" si="3"/>
        <v>1550</v>
      </c>
      <c r="H30" s="4">
        <f t="shared" si="4"/>
        <v>96100</v>
      </c>
    </row>
    <row r="31" spans="1:8" x14ac:dyDescent="0.2">
      <c r="A31" s="4">
        <v>27</v>
      </c>
      <c r="B31" s="4">
        <v>60</v>
      </c>
      <c r="C31" s="4">
        <v>25</v>
      </c>
      <c r="D31" s="4">
        <f t="shared" si="0"/>
        <v>3600</v>
      </c>
      <c r="E31" s="4">
        <f t="shared" si="1"/>
        <v>216000</v>
      </c>
      <c r="F31" s="4">
        <f t="shared" si="2"/>
        <v>12960000</v>
      </c>
      <c r="G31" s="4">
        <f t="shared" si="3"/>
        <v>1500</v>
      </c>
      <c r="H31" s="4">
        <f t="shared" si="4"/>
        <v>90000</v>
      </c>
    </row>
    <row r="32" spans="1:8" x14ac:dyDescent="0.2">
      <c r="A32" s="4">
        <v>28</v>
      </c>
      <c r="B32" s="4">
        <v>59</v>
      </c>
      <c r="C32" s="4">
        <v>25</v>
      </c>
      <c r="D32" s="4">
        <f t="shared" si="0"/>
        <v>3481</v>
      </c>
      <c r="E32" s="4">
        <f t="shared" si="1"/>
        <v>205379</v>
      </c>
      <c r="F32" s="4">
        <f t="shared" si="2"/>
        <v>12117361</v>
      </c>
      <c r="G32" s="4">
        <f t="shared" si="3"/>
        <v>1475</v>
      </c>
      <c r="H32" s="4">
        <f t="shared" si="4"/>
        <v>87025</v>
      </c>
    </row>
    <row r="33" spans="1:8" x14ac:dyDescent="0.2">
      <c r="A33" s="4">
        <v>29</v>
      </c>
      <c r="B33" s="4">
        <v>60</v>
      </c>
      <c r="C33" s="4">
        <v>25</v>
      </c>
      <c r="D33" s="4">
        <f t="shared" si="0"/>
        <v>3600</v>
      </c>
      <c r="E33" s="4">
        <f t="shared" si="1"/>
        <v>216000</v>
      </c>
      <c r="F33" s="4">
        <f t="shared" si="2"/>
        <v>12960000</v>
      </c>
      <c r="G33" s="4">
        <f t="shared" si="3"/>
        <v>1500</v>
      </c>
      <c r="H33" s="4">
        <f t="shared" si="4"/>
        <v>90000</v>
      </c>
    </row>
    <row r="34" spans="1:8" x14ac:dyDescent="0.2">
      <c r="A34" s="4">
        <v>30</v>
      </c>
      <c r="B34" s="4">
        <v>61</v>
      </c>
      <c r="C34" s="4">
        <v>25</v>
      </c>
      <c r="D34" s="4">
        <f t="shared" si="0"/>
        <v>3721</v>
      </c>
      <c r="E34" s="4">
        <f t="shared" si="1"/>
        <v>226981</v>
      </c>
      <c r="F34" s="4">
        <f t="shared" si="2"/>
        <v>13845841</v>
      </c>
      <c r="G34" s="4">
        <f t="shared" si="3"/>
        <v>1525</v>
      </c>
      <c r="H34" s="4">
        <f t="shared" si="4"/>
        <v>93025</v>
      </c>
    </row>
    <row r="35" spans="1:8" x14ac:dyDescent="0.2">
      <c r="A35" s="4">
        <v>31</v>
      </c>
      <c r="B35" s="4">
        <v>59</v>
      </c>
      <c r="C35" s="4">
        <v>25</v>
      </c>
      <c r="D35" s="4">
        <f t="shared" si="0"/>
        <v>3481</v>
      </c>
      <c r="E35" s="4">
        <f t="shared" si="1"/>
        <v>205379</v>
      </c>
      <c r="F35" s="4">
        <f t="shared" si="2"/>
        <v>12117361</v>
      </c>
      <c r="G35" s="4">
        <f t="shared" si="3"/>
        <v>1475</v>
      </c>
      <c r="H35" s="4">
        <f t="shared" si="4"/>
        <v>87025</v>
      </c>
    </row>
    <row r="36" spans="1:8" x14ac:dyDescent="0.2">
      <c r="A36" s="4">
        <v>32</v>
      </c>
      <c r="B36" s="4">
        <v>60</v>
      </c>
      <c r="C36" s="4">
        <v>25</v>
      </c>
      <c r="D36" s="4">
        <f t="shared" si="0"/>
        <v>3600</v>
      </c>
      <c r="E36" s="4">
        <f t="shared" si="1"/>
        <v>216000</v>
      </c>
      <c r="F36" s="4">
        <f t="shared" si="2"/>
        <v>12960000</v>
      </c>
      <c r="G36" s="4">
        <f t="shared" si="3"/>
        <v>1500</v>
      </c>
      <c r="H36" s="4">
        <f t="shared" si="4"/>
        <v>90000</v>
      </c>
    </row>
    <row r="37" spans="1:8" x14ac:dyDescent="0.2">
      <c r="A37" s="4">
        <v>33</v>
      </c>
      <c r="B37" s="4">
        <v>61</v>
      </c>
      <c r="C37" s="4">
        <v>25</v>
      </c>
      <c r="D37" s="4">
        <f t="shared" ref="D37:D68" si="5">B37^2</f>
        <v>3721</v>
      </c>
      <c r="E37" s="4">
        <f t="shared" ref="E37:E68" si="6">B37^3</f>
        <v>226981</v>
      </c>
      <c r="F37" s="4">
        <f t="shared" ref="F37:F68" si="7">B37^4</f>
        <v>13845841</v>
      </c>
      <c r="G37" s="4">
        <f t="shared" ref="G37:G68" si="8">B37*C37</f>
        <v>1525</v>
      </c>
      <c r="H37" s="4">
        <f t="shared" ref="H37:H68" si="9">D37*C37</f>
        <v>93025</v>
      </c>
    </row>
    <row r="38" spans="1:8" x14ac:dyDescent="0.2">
      <c r="A38" s="4">
        <v>34</v>
      </c>
      <c r="B38" s="4">
        <v>60</v>
      </c>
      <c r="C38" s="4">
        <v>25</v>
      </c>
      <c r="D38" s="4">
        <f t="shared" si="5"/>
        <v>3600</v>
      </c>
      <c r="E38" s="4">
        <f t="shared" si="6"/>
        <v>216000</v>
      </c>
      <c r="F38" s="4">
        <f t="shared" si="7"/>
        <v>12960000</v>
      </c>
      <c r="G38" s="4">
        <f t="shared" si="8"/>
        <v>1500</v>
      </c>
      <c r="H38" s="4">
        <f t="shared" si="9"/>
        <v>90000</v>
      </c>
    </row>
    <row r="39" spans="1:8" x14ac:dyDescent="0.2">
      <c r="A39" s="4">
        <v>35</v>
      </c>
      <c r="B39" s="4">
        <v>61</v>
      </c>
      <c r="C39" s="4">
        <v>25</v>
      </c>
      <c r="D39" s="4">
        <f t="shared" si="5"/>
        <v>3721</v>
      </c>
      <c r="E39" s="4">
        <f t="shared" si="6"/>
        <v>226981</v>
      </c>
      <c r="F39" s="4">
        <f t="shared" si="7"/>
        <v>13845841</v>
      </c>
      <c r="G39" s="4">
        <f t="shared" si="8"/>
        <v>1525</v>
      </c>
      <c r="H39" s="4">
        <f t="shared" si="9"/>
        <v>93025</v>
      </c>
    </row>
    <row r="40" spans="1:8" x14ac:dyDescent="0.2">
      <c r="A40" s="4">
        <v>36</v>
      </c>
      <c r="B40" s="4">
        <v>59</v>
      </c>
      <c r="C40" s="4">
        <v>25</v>
      </c>
      <c r="D40" s="4">
        <f t="shared" si="5"/>
        <v>3481</v>
      </c>
      <c r="E40" s="4">
        <f t="shared" si="6"/>
        <v>205379</v>
      </c>
      <c r="F40" s="4">
        <f t="shared" si="7"/>
        <v>12117361</v>
      </c>
      <c r="G40" s="4">
        <f t="shared" si="8"/>
        <v>1475</v>
      </c>
      <c r="H40" s="4">
        <f t="shared" si="9"/>
        <v>87025</v>
      </c>
    </row>
    <row r="41" spans="1:8" x14ac:dyDescent="0.2">
      <c r="A41" s="4">
        <v>37</v>
      </c>
      <c r="B41" s="4">
        <v>60</v>
      </c>
      <c r="C41" s="4">
        <v>25</v>
      </c>
      <c r="D41" s="4">
        <f t="shared" si="5"/>
        <v>3600</v>
      </c>
      <c r="E41" s="4">
        <f t="shared" si="6"/>
        <v>216000</v>
      </c>
      <c r="F41" s="4">
        <f t="shared" si="7"/>
        <v>12960000</v>
      </c>
      <c r="G41" s="4">
        <f t="shared" si="8"/>
        <v>1500</v>
      </c>
      <c r="H41" s="4">
        <f t="shared" si="9"/>
        <v>90000</v>
      </c>
    </row>
    <row r="42" spans="1:8" x14ac:dyDescent="0.2">
      <c r="A42" s="4">
        <v>38</v>
      </c>
      <c r="B42" s="4">
        <v>59</v>
      </c>
      <c r="C42" s="4">
        <v>25</v>
      </c>
      <c r="D42" s="4">
        <f t="shared" si="5"/>
        <v>3481</v>
      </c>
      <c r="E42" s="4">
        <f t="shared" si="6"/>
        <v>205379</v>
      </c>
      <c r="F42" s="4">
        <f t="shared" si="7"/>
        <v>12117361</v>
      </c>
      <c r="G42" s="4">
        <f t="shared" si="8"/>
        <v>1475</v>
      </c>
      <c r="H42" s="4">
        <f t="shared" si="9"/>
        <v>87025</v>
      </c>
    </row>
    <row r="43" spans="1:8" x14ac:dyDescent="0.2">
      <c r="A43" s="4">
        <v>39</v>
      </c>
      <c r="B43" s="4">
        <v>58</v>
      </c>
      <c r="C43" s="4">
        <v>25</v>
      </c>
      <c r="D43" s="4">
        <f t="shared" si="5"/>
        <v>3364</v>
      </c>
      <c r="E43" s="4">
        <f t="shared" si="6"/>
        <v>195112</v>
      </c>
      <c r="F43" s="4">
        <f t="shared" si="7"/>
        <v>11316496</v>
      </c>
      <c r="G43" s="4">
        <f t="shared" si="8"/>
        <v>1450</v>
      </c>
      <c r="H43" s="4">
        <f t="shared" si="9"/>
        <v>84100</v>
      </c>
    </row>
    <row r="44" spans="1:8" x14ac:dyDescent="0.2">
      <c r="A44" s="4">
        <v>40</v>
      </c>
      <c r="B44" s="4">
        <v>59</v>
      </c>
      <c r="C44" s="4">
        <v>25</v>
      </c>
      <c r="D44" s="4">
        <f t="shared" si="5"/>
        <v>3481</v>
      </c>
      <c r="E44" s="4">
        <f t="shared" si="6"/>
        <v>205379</v>
      </c>
      <c r="F44" s="4">
        <f t="shared" si="7"/>
        <v>12117361</v>
      </c>
      <c r="G44" s="4">
        <f t="shared" si="8"/>
        <v>1475</v>
      </c>
      <c r="H44" s="4">
        <f t="shared" si="9"/>
        <v>87025</v>
      </c>
    </row>
    <row r="45" spans="1:8" x14ac:dyDescent="0.2">
      <c r="A45" s="4">
        <v>41</v>
      </c>
      <c r="B45" s="4">
        <v>67</v>
      </c>
      <c r="C45" s="4">
        <v>30</v>
      </c>
      <c r="D45" s="4">
        <f t="shared" si="5"/>
        <v>4489</v>
      </c>
      <c r="E45" s="4">
        <f t="shared" si="6"/>
        <v>300763</v>
      </c>
      <c r="F45" s="4">
        <f t="shared" si="7"/>
        <v>20151121</v>
      </c>
      <c r="G45" s="4">
        <f t="shared" si="8"/>
        <v>2010</v>
      </c>
      <c r="H45" s="4">
        <f t="shared" si="9"/>
        <v>134670</v>
      </c>
    </row>
    <row r="46" spans="1:8" x14ac:dyDescent="0.2">
      <c r="A46" s="4">
        <v>42</v>
      </c>
      <c r="B46" s="4">
        <v>68</v>
      </c>
      <c r="C46" s="4">
        <v>30</v>
      </c>
      <c r="D46" s="4">
        <f t="shared" si="5"/>
        <v>4624</v>
      </c>
      <c r="E46" s="4">
        <f t="shared" si="6"/>
        <v>314432</v>
      </c>
      <c r="F46" s="4">
        <f t="shared" si="7"/>
        <v>21381376</v>
      </c>
      <c r="G46" s="4">
        <f t="shared" si="8"/>
        <v>2040</v>
      </c>
      <c r="H46" s="4">
        <f t="shared" si="9"/>
        <v>138720</v>
      </c>
    </row>
    <row r="47" spans="1:8" x14ac:dyDescent="0.2">
      <c r="A47" s="4">
        <v>43</v>
      </c>
      <c r="B47" s="4">
        <v>69</v>
      </c>
      <c r="C47" s="4">
        <v>30</v>
      </c>
      <c r="D47" s="4">
        <f t="shared" si="5"/>
        <v>4761</v>
      </c>
      <c r="E47" s="4">
        <f t="shared" si="6"/>
        <v>328509</v>
      </c>
      <c r="F47" s="4">
        <f t="shared" si="7"/>
        <v>22667121</v>
      </c>
      <c r="G47" s="4">
        <f t="shared" si="8"/>
        <v>2070</v>
      </c>
      <c r="H47" s="4">
        <f t="shared" si="9"/>
        <v>142830</v>
      </c>
    </row>
    <row r="48" spans="1:8" x14ac:dyDescent="0.2">
      <c r="A48" s="4">
        <v>44</v>
      </c>
      <c r="B48" s="4">
        <v>70</v>
      </c>
      <c r="C48" s="4">
        <v>30</v>
      </c>
      <c r="D48" s="4">
        <f t="shared" si="5"/>
        <v>4900</v>
      </c>
      <c r="E48" s="4">
        <f t="shared" si="6"/>
        <v>343000</v>
      </c>
      <c r="F48" s="4">
        <f t="shared" si="7"/>
        <v>24010000</v>
      </c>
      <c r="G48" s="4">
        <f t="shared" si="8"/>
        <v>2100</v>
      </c>
      <c r="H48" s="4">
        <f t="shared" si="9"/>
        <v>147000</v>
      </c>
    </row>
    <row r="49" spans="1:8" x14ac:dyDescent="0.2">
      <c r="A49" s="4">
        <v>45</v>
      </c>
      <c r="B49" s="4">
        <v>71</v>
      </c>
      <c r="C49" s="4">
        <v>30</v>
      </c>
      <c r="D49" s="4">
        <f t="shared" si="5"/>
        <v>5041</v>
      </c>
      <c r="E49" s="4">
        <f t="shared" si="6"/>
        <v>357911</v>
      </c>
      <c r="F49" s="4">
        <f t="shared" si="7"/>
        <v>25411681</v>
      </c>
      <c r="G49" s="4">
        <f t="shared" si="8"/>
        <v>2130</v>
      </c>
      <c r="H49" s="4">
        <f t="shared" si="9"/>
        <v>151230</v>
      </c>
    </row>
    <row r="50" spans="1:8" x14ac:dyDescent="0.2">
      <c r="A50" s="4">
        <v>46</v>
      </c>
      <c r="B50" s="4">
        <v>68</v>
      </c>
      <c r="C50" s="4">
        <v>30</v>
      </c>
      <c r="D50" s="4">
        <f t="shared" si="5"/>
        <v>4624</v>
      </c>
      <c r="E50" s="4">
        <f t="shared" si="6"/>
        <v>314432</v>
      </c>
      <c r="F50" s="4">
        <f t="shared" si="7"/>
        <v>21381376</v>
      </c>
      <c r="G50" s="4">
        <f t="shared" si="8"/>
        <v>2040</v>
      </c>
      <c r="H50" s="4">
        <f t="shared" si="9"/>
        <v>138720</v>
      </c>
    </row>
    <row r="51" spans="1:8" x14ac:dyDescent="0.2">
      <c r="A51" s="4">
        <v>47</v>
      </c>
      <c r="B51" s="4">
        <v>69</v>
      </c>
      <c r="C51" s="4">
        <v>30</v>
      </c>
      <c r="D51" s="4">
        <f t="shared" si="5"/>
        <v>4761</v>
      </c>
      <c r="E51" s="4">
        <f t="shared" si="6"/>
        <v>328509</v>
      </c>
      <c r="F51" s="4">
        <f t="shared" si="7"/>
        <v>22667121</v>
      </c>
      <c r="G51" s="4">
        <f t="shared" si="8"/>
        <v>2070</v>
      </c>
      <c r="H51" s="4">
        <f t="shared" si="9"/>
        <v>142830</v>
      </c>
    </row>
    <row r="52" spans="1:8" x14ac:dyDescent="0.2">
      <c r="A52" s="4">
        <v>48</v>
      </c>
      <c r="B52" s="4">
        <v>70</v>
      </c>
      <c r="C52" s="4">
        <v>30</v>
      </c>
      <c r="D52" s="4">
        <f t="shared" si="5"/>
        <v>4900</v>
      </c>
      <c r="E52" s="4">
        <f t="shared" si="6"/>
        <v>343000</v>
      </c>
      <c r="F52" s="4">
        <f t="shared" si="7"/>
        <v>24010000</v>
      </c>
      <c r="G52" s="4">
        <f t="shared" si="8"/>
        <v>2100</v>
      </c>
      <c r="H52" s="4">
        <f t="shared" si="9"/>
        <v>147000</v>
      </c>
    </row>
    <row r="53" spans="1:8" x14ac:dyDescent="0.2">
      <c r="A53" s="4">
        <v>49</v>
      </c>
      <c r="B53" s="4">
        <v>70</v>
      </c>
      <c r="C53" s="4">
        <v>30</v>
      </c>
      <c r="D53" s="4">
        <f t="shared" si="5"/>
        <v>4900</v>
      </c>
      <c r="E53" s="4">
        <f t="shared" si="6"/>
        <v>343000</v>
      </c>
      <c r="F53" s="4">
        <f t="shared" si="7"/>
        <v>24010000</v>
      </c>
      <c r="G53" s="4">
        <f t="shared" si="8"/>
        <v>2100</v>
      </c>
      <c r="H53" s="4">
        <f t="shared" si="9"/>
        <v>147000</v>
      </c>
    </row>
    <row r="54" spans="1:8" x14ac:dyDescent="0.2">
      <c r="A54" s="4">
        <v>50</v>
      </c>
      <c r="B54" s="4">
        <v>71</v>
      </c>
      <c r="C54" s="4">
        <v>30</v>
      </c>
      <c r="D54" s="4">
        <f t="shared" si="5"/>
        <v>5041</v>
      </c>
      <c r="E54" s="4">
        <f t="shared" si="6"/>
        <v>357911</v>
      </c>
      <c r="F54" s="4">
        <f t="shared" si="7"/>
        <v>25411681</v>
      </c>
      <c r="G54" s="4">
        <f t="shared" si="8"/>
        <v>2130</v>
      </c>
      <c r="H54" s="4">
        <f t="shared" si="9"/>
        <v>151230</v>
      </c>
    </row>
    <row r="55" spans="1:8" x14ac:dyDescent="0.2">
      <c r="A55" s="4">
        <v>51</v>
      </c>
      <c r="B55" s="4">
        <v>70</v>
      </c>
      <c r="C55" s="4">
        <v>30</v>
      </c>
      <c r="D55" s="4">
        <f t="shared" si="5"/>
        <v>4900</v>
      </c>
      <c r="E55" s="4">
        <f t="shared" si="6"/>
        <v>343000</v>
      </c>
      <c r="F55" s="4">
        <f t="shared" si="7"/>
        <v>24010000</v>
      </c>
      <c r="G55" s="4">
        <f t="shared" si="8"/>
        <v>2100</v>
      </c>
      <c r="H55" s="4">
        <f t="shared" si="9"/>
        <v>147000</v>
      </c>
    </row>
    <row r="56" spans="1:8" x14ac:dyDescent="0.2">
      <c r="A56" s="4">
        <v>52</v>
      </c>
      <c r="B56" s="4">
        <v>69</v>
      </c>
      <c r="C56" s="4">
        <v>30</v>
      </c>
      <c r="D56" s="4">
        <f t="shared" si="5"/>
        <v>4761</v>
      </c>
      <c r="E56" s="4">
        <f t="shared" si="6"/>
        <v>328509</v>
      </c>
      <c r="F56" s="4">
        <f t="shared" si="7"/>
        <v>22667121</v>
      </c>
      <c r="G56" s="4">
        <f t="shared" si="8"/>
        <v>2070</v>
      </c>
      <c r="H56" s="4">
        <f t="shared" si="9"/>
        <v>142830</v>
      </c>
    </row>
    <row r="57" spans="1:8" x14ac:dyDescent="0.2">
      <c r="A57" s="4">
        <v>53</v>
      </c>
      <c r="B57" s="4">
        <v>68</v>
      </c>
      <c r="C57" s="4">
        <v>30</v>
      </c>
      <c r="D57" s="4">
        <f t="shared" si="5"/>
        <v>4624</v>
      </c>
      <c r="E57" s="4">
        <f t="shared" si="6"/>
        <v>314432</v>
      </c>
      <c r="F57" s="4">
        <f t="shared" si="7"/>
        <v>21381376</v>
      </c>
      <c r="G57" s="4">
        <f t="shared" si="8"/>
        <v>2040</v>
      </c>
      <c r="H57" s="4">
        <f t="shared" si="9"/>
        <v>138720</v>
      </c>
    </row>
    <row r="58" spans="1:8" x14ac:dyDescent="0.2">
      <c r="A58" s="4">
        <v>54</v>
      </c>
      <c r="B58" s="4">
        <v>68</v>
      </c>
      <c r="C58" s="4">
        <v>30</v>
      </c>
      <c r="D58" s="4">
        <f t="shared" si="5"/>
        <v>4624</v>
      </c>
      <c r="E58" s="4">
        <f t="shared" si="6"/>
        <v>314432</v>
      </c>
      <c r="F58" s="4">
        <f t="shared" si="7"/>
        <v>21381376</v>
      </c>
      <c r="G58" s="4">
        <f t="shared" si="8"/>
        <v>2040</v>
      </c>
      <c r="H58" s="4">
        <f t="shared" si="9"/>
        <v>138720</v>
      </c>
    </row>
    <row r="59" spans="1:8" x14ac:dyDescent="0.2">
      <c r="A59" s="4">
        <v>55</v>
      </c>
      <c r="B59" s="4">
        <v>69</v>
      </c>
      <c r="C59" s="4">
        <v>30</v>
      </c>
      <c r="D59" s="4">
        <f t="shared" si="5"/>
        <v>4761</v>
      </c>
      <c r="E59" s="4">
        <f t="shared" si="6"/>
        <v>328509</v>
      </c>
      <c r="F59" s="4">
        <f t="shared" si="7"/>
        <v>22667121</v>
      </c>
      <c r="G59" s="4">
        <f t="shared" si="8"/>
        <v>2070</v>
      </c>
      <c r="H59" s="4">
        <f t="shared" si="9"/>
        <v>142830</v>
      </c>
    </row>
    <row r="60" spans="1:8" x14ac:dyDescent="0.2">
      <c r="A60" s="4">
        <v>56</v>
      </c>
      <c r="B60" s="4">
        <v>70</v>
      </c>
      <c r="C60" s="4">
        <v>30</v>
      </c>
      <c r="D60" s="4">
        <f t="shared" si="5"/>
        <v>4900</v>
      </c>
      <c r="E60" s="4">
        <f t="shared" si="6"/>
        <v>343000</v>
      </c>
      <c r="F60" s="4">
        <f t="shared" si="7"/>
        <v>24010000</v>
      </c>
      <c r="G60" s="4">
        <f t="shared" si="8"/>
        <v>2100</v>
      </c>
      <c r="H60" s="4">
        <f t="shared" si="9"/>
        <v>147000</v>
      </c>
    </row>
    <row r="61" spans="1:8" x14ac:dyDescent="0.2">
      <c r="A61" s="4">
        <v>57</v>
      </c>
      <c r="B61" s="4">
        <v>71</v>
      </c>
      <c r="C61" s="4">
        <v>30</v>
      </c>
      <c r="D61" s="4">
        <f t="shared" si="5"/>
        <v>5041</v>
      </c>
      <c r="E61" s="4">
        <f t="shared" si="6"/>
        <v>357911</v>
      </c>
      <c r="F61" s="4">
        <f t="shared" si="7"/>
        <v>25411681</v>
      </c>
      <c r="G61" s="4">
        <f t="shared" si="8"/>
        <v>2130</v>
      </c>
      <c r="H61" s="4">
        <f t="shared" si="9"/>
        <v>151230</v>
      </c>
    </row>
    <row r="62" spans="1:8" x14ac:dyDescent="0.2">
      <c r="A62" s="4">
        <v>58</v>
      </c>
      <c r="B62" s="4">
        <v>72</v>
      </c>
      <c r="C62" s="4">
        <v>30</v>
      </c>
      <c r="D62" s="4">
        <f t="shared" si="5"/>
        <v>5184</v>
      </c>
      <c r="E62" s="4">
        <f t="shared" si="6"/>
        <v>373248</v>
      </c>
      <c r="F62" s="4">
        <f t="shared" si="7"/>
        <v>26873856</v>
      </c>
      <c r="G62" s="4">
        <f t="shared" si="8"/>
        <v>2160</v>
      </c>
      <c r="H62" s="4">
        <f t="shared" si="9"/>
        <v>155520</v>
      </c>
    </row>
    <row r="63" spans="1:8" x14ac:dyDescent="0.2">
      <c r="A63" s="4">
        <v>59</v>
      </c>
      <c r="B63" s="4">
        <v>71</v>
      </c>
      <c r="C63" s="4">
        <v>30</v>
      </c>
      <c r="D63" s="4">
        <f t="shared" si="5"/>
        <v>5041</v>
      </c>
      <c r="E63" s="4">
        <f t="shared" si="6"/>
        <v>357911</v>
      </c>
      <c r="F63" s="4">
        <f t="shared" si="7"/>
        <v>25411681</v>
      </c>
      <c r="G63" s="4">
        <f t="shared" si="8"/>
        <v>2130</v>
      </c>
      <c r="H63" s="4">
        <f t="shared" si="9"/>
        <v>151230</v>
      </c>
    </row>
    <row r="64" spans="1:8" x14ac:dyDescent="0.2">
      <c r="A64" s="4">
        <v>60</v>
      </c>
      <c r="B64" s="4">
        <v>69</v>
      </c>
      <c r="C64" s="4">
        <v>30</v>
      </c>
      <c r="D64" s="4">
        <f t="shared" si="5"/>
        <v>4761</v>
      </c>
      <c r="E64" s="4">
        <f t="shared" si="6"/>
        <v>328509</v>
      </c>
      <c r="F64" s="4">
        <f t="shared" si="7"/>
        <v>22667121</v>
      </c>
      <c r="G64" s="4">
        <f t="shared" si="8"/>
        <v>2070</v>
      </c>
      <c r="H64" s="4">
        <f t="shared" si="9"/>
        <v>142830</v>
      </c>
    </row>
    <row r="65" spans="1:8" x14ac:dyDescent="0.2">
      <c r="A65" s="4">
        <v>61</v>
      </c>
      <c r="B65" s="4">
        <v>74</v>
      </c>
      <c r="C65" s="4">
        <v>35</v>
      </c>
      <c r="D65" s="4">
        <f t="shared" si="5"/>
        <v>5476</v>
      </c>
      <c r="E65" s="4">
        <f t="shared" si="6"/>
        <v>405224</v>
      </c>
      <c r="F65" s="4">
        <f t="shared" si="7"/>
        <v>29986576</v>
      </c>
      <c r="G65" s="4">
        <f t="shared" si="8"/>
        <v>2590</v>
      </c>
      <c r="H65" s="4">
        <f t="shared" si="9"/>
        <v>191660</v>
      </c>
    </row>
    <row r="66" spans="1:8" x14ac:dyDescent="0.2">
      <c r="A66" s="4">
        <v>62</v>
      </c>
      <c r="B66" s="4">
        <v>75</v>
      </c>
      <c r="C66" s="4">
        <v>35</v>
      </c>
      <c r="D66" s="4">
        <f t="shared" si="5"/>
        <v>5625</v>
      </c>
      <c r="E66" s="4">
        <f t="shared" si="6"/>
        <v>421875</v>
      </c>
      <c r="F66" s="4">
        <f t="shared" si="7"/>
        <v>31640625</v>
      </c>
      <c r="G66" s="4">
        <f t="shared" si="8"/>
        <v>2625</v>
      </c>
      <c r="H66" s="4">
        <f t="shared" si="9"/>
        <v>196875</v>
      </c>
    </row>
    <row r="67" spans="1:8" x14ac:dyDescent="0.2">
      <c r="A67" s="4">
        <v>63</v>
      </c>
      <c r="B67" s="4">
        <v>76</v>
      </c>
      <c r="C67" s="4">
        <v>35</v>
      </c>
      <c r="D67" s="4">
        <f t="shared" si="5"/>
        <v>5776</v>
      </c>
      <c r="E67" s="4">
        <f t="shared" si="6"/>
        <v>438976</v>
      </c>
      <c r="F67" s="4">
        <f t="shared" si="7"/>
        <v>33362176</v>
      </c>
      <c r="G67" s="4">
        <f t="shared" si="8"/>
        <v>2660</v>
      </c>
      <c r="H67" s="4">
        <f t="shared" si="9"/>
        <v>202160</v>
      </c>
    </row>
    <row r="68" spans="1:8" x14ac:dyDescent="0.2">
      <c r="A68" s="4">
        <v>64</v>
      </c>
      <c r="B68" s="4">
        <v>75</v>
      </c>
      <c r="C68" s="4">
        <v>35</v>
      </c>
      <c r="D68" s="4">
        <f t="shared" si="5"/>
        <v>5625</v>
      </c>
      <c r="E68" s="4">
        <f t="shared" si="6"/>
        <v>421875</v>
      </c>
      <c r="F68" s="4">
        <f t="shared" si="7"/>
        <v>31640625</v>
      </c>
      <c r="G68" s="4">
        <f t="shared" si="8"/>
        <v>2625</v>
      </c>
      <c r="H68" s="4">
        <f t="shared" si="9"/>
        <v>196875</v>
      </c>
    </row>
    <row r="69" spans="1:8" x14ac:dyDescent="0.2">
      <c r="A69" s="4">
        <v>65</v>
      </c>
      <c r="B69" s="4">
        <v>76</v>
      </c>
      <c r="C69" s="4">
        <v>35</v>
      </c>
      <c r="D69" s="4">
        <f t="shared" ref="D69:D100" si="10">B69^2</f>
        <v>5776</v>
      </c>
      <c r="E69" s="4">
        <f t="shared" ref="E69:E100" si="11">B69^3</f>
        <v>438976</v>
      </c>
      <c r="F69" s="4">
        <f t="shared" ref="F69:F100" si="12">B69^4</f>
        <v>33362176</v>
      </c>
      <c r="G69" s="4">
        <f t="shared" ref="G69:G100" si="13">B69*C69</f>
        <v>2660</v>
      </c>
      <c r="H69" s="4">
        <f t="shared" ref="H69:H100" si="14">D69*C69</f>
        <v>202160</v>
      </c>
    </row>
    <row r="70" spans="1:8" x14ac:dyDescent="0.2">
      <c r="A70" s="4">
        <v>66</v>
      </c>
      <c r="B70" s="4">
        <v>76</v>
      </c>
      <c r="C70" s="4">
        <v>35</v>
      </c>
      <c r="D70" s="4">
        <f t="shared" si="10"/>
        <v>5776</v>
      </c>
      <c r="E70" s="4">
        <f t="shared" si="11"/>
        <v>438976</v>
      </c>
      <c r="F70" s="4">
        <f t="shared" si="12"/>
        <v>33362176</v>
      </c>
      <c r="G70" s="4">
        <f t="shared" si="13"/>
        <v>2660</v>
      </c>
      <c r="H70" s="4">
        <f t="shared" si="14"/>
        <v>202160</v>
      </c>
    </row>
    <row r="71" spans="1:8" x14ac:dyDescent="0.2">
      <c r="A71" s="4">
        <v>67</v>
      </c>
      <c r="B71" s="4">
        <v>75</v>
      </c>
      <c r="C71" s="4">
        <v>35</v>
      </c>
      <c r="D71" s="4">
        <f t="shared" si="10"/>
        <v>5625</v>
      </c>
      <c r="E71" s="4">
        <f t="shared" si="11"/>
        <v>421875</v>
      </c>
      <c r="F71" s="4">
        <f t="shared" si="12"/>
        <v>31640625</v>
      </c>
      <c r="G71" s="4">
        <f t="shared" si="13"/>
        <v>2625</v>
      </c>
      <c r="H71" s="4">
        <f t="shared" si="14"/>
        <v>196875</v>
      </c>
    </row>
    <row r="72" spans="1:8" x14ac:dyDescent="0.2">
      <c r="A72" s="4">
        <v>68</v>
      </c>
      <c r="B72" s="4">
        <v>77</v>
      </c>
      <c r="C72" s="4">
        <v>35</v>
      </c>
      <c r="D72" s="4">
        <f t="shared" si="10"/>
        <v>5929</v>
      </c>
      <c r="E72" s="4">
        <f t="shared" si="11"/>
        <v>456533</v>
      </c>
      <c r="F72" s="4">
        <f t="shared" si="12"/>
        <v>35153041</v>
      </c>
      <c r="G72" s="4">
        <f t="shared" si="13"/>
        <v>2695</v>
      </c>
      <c r="H72" s="4">
        <f t="shared" si="14"/>
        <v>207515</v>
      </c>
    </row>
    <row r="73" spans="1:8" x14ac:dyDescent="0.2">
      <c r="A73" s="4">
        <v>69</v>
      </c>
      <c r="B73" s="4">
        <v>76</v>
      </c>
      <c r="C73" s="4">
        <v>35</v>
      </c>
      <c r="D73" s="4">
        <f t="shared" si="10"/>
        <v>5776</v>
      </c>
      <c r="E73" s="4">
        <f t="shared" si="11"/>
        <v>438976</v>
      </c>
      <c r="F73" s="4">
        <f t="shared" si="12"/>
        <v>33362176</v>
      </c>
      <c r="G73" s="4">
        <f t="shared" si="13"/>
        <v>2660</v>
      </c>
      <c r="H73" s="4">
        <f t="shared" si="14"/>
        <v>202160</v>
      </c>
    </row>
    <row r="74" spans="1:8" x14ac:dyDescent="0.2">
      <c r="A74" s="4">
        <v>70</v>
      </c>
      <c r="B74" s="4">
        <v>77</v>
      </c>
      <c r="C74" s="4">
        <v>35</v>
      </c>
      <c r="D74" s="4">
        <f t="shared" si="10"/>
        <v>5929</v>
      </c>
      <c r="E74" s="4">
        <f t="shared" si="11"/>
        <v>456533</v>
      </c>
      <c r="F74" s="4">
        <f t="shared" si="12"/>
        <v>35153041</v>
      </c>
      <c r="G74" s="4">
        <f t="shared" si="13"/>
        <v>2695</v>
      </c>
      <c r="H74" s="4">
        <f t="shared" si="14"/>
        <v>207515</v>
      </c>
    </row>
    <row r="75" spans="1:8" x14ac:dyDescent="0.2">
      <c r="A75" s="4">
        <v>71</v>
      </c>
      <c r="B75" s="4">
        <v>75</v>
      </c>
      <c r="C75" s="4">
        <v>35</v>
      </c>
      <c r="D75" s="4">
        <f t="shared" si="10"/>
        <v>5625</v>
      </c>
      <c r="E75" s="4">
        <f t="shared" si="11"/>
        <v>421875</v>
      </c>
      <c r="F75" s="4">
        <f t="shared" si="12"/>
        <v>31640625</v>
      </c>
      <c r="G75" s="4">
        <f t="shared" si="13"/>
        <v>2625</v>
      </c>
      <c r="H75" s="4">
        <f t="shared" si="14"/>
        <v>196875</v>
      </c>
    </row>
    <row r="76" spans="1:8" x14ac:dyDescent="0.2">
      <c r="A76" s="4">
        <v>72</v>
      </c>
      <c r="B76" s="4">
        <v>74</v>
      </c>
      <c r="C76" s="4">
        <v>35</v>
      </c>
      <c r="D76" s="4">
        <f t="shared" si="10"/>
        <v>5476</v>
      </c>
      <c r="E76" s="4">
        <f t="shared" si="11"/>
        <v>405224</v>
      </c>
      <c r="F76" s="4">
        <f t="shared" si="12"/>
        <v>29986576</v>
      </c>
      <c r="G76" s="4">
        <f t="shared" si="13"/>
        <v>2590</v>
      </c>
      <c r="H76" s="4">
        <f t="shared" si="14"/>
        <v>191660</v>
      </c>
    </row>
    <row r="77" spans="1:8" x14ac:dyDescent="0.2">
      <c r="A77" s="4">
        <v>73</v>
      </c>
      <c r="B77" s="4">
        <v>72</v>
      </c>
      <c r="C77" s="4">
        <v>35</v>
      </c>
      <c r="D77" s="4">
        <f t="shared" si="10"/>
        <v>5184</v>
      </c>
      <c r="E77" s="4">
        <f t="shared" si="11"/>
        <v>373248</v>
      </c>
      <c r="F77" s="4">
        <f t="shared" si="12"/>
        <v>26873856</v>
      </c>
      <c r="G77" s="4">
        <f t="shared" si="13"/>
        <v>2520</v>
      </c>
      <c r="H77" s="4">
        <f t="shared" si="14"/>
        <v>181440</v>
      </c>
    </row>
    <row r="78" spans="1:8" x14ac:dyDescent="0.2">
      <c r="A78" s="4">
        <v>74</v>
      </c>
      <c r="B78" s="4">
        <v>74</v>
      </c>
      <c r="C78" s="4">
        <v>35</v>
      </c>
      <c r="D78" s="4">
        <f t="shared" si="10"/>
        <v>5476</v>
      </c>
      <c r="E78" s="4">
        <f t="shared" si="11"/>
        <v>405224</v>
      </c>
      <c r="F78" s="4">
        <f t="shared" si="12"/>
        <v>29986576</v>
      </c>
      <c r="G78" s="4">
        <f t="shared" si="13"/>
        <v>2590</v>
      </c>
      <c r="H78" s="4">
        <f t="shared" si="14"/>
        <v>191660</v>
      </c>
    </row>
    <row r="79" spans="1:8" x14ac:dyDescent="0.2">
      <c r="A79" s="4">
        <v>75</v>
      </c>
      <c r="B79" s="4">
        <v>74</v>
      </c>
      <c r="C79" s="4">
        <v>35</v>
      </c>
      <c r="D79" s="4">
        <f t="shared" si="10"/>
        <v>5476</v>
      </c>
      <c r="E79" s="4">
        <f t="shared" si="11"/>
        <v>405224</v>
      </c>
      <c r="F79" s="4">
        <f t="shared" si="12"/>
        <v>29986576</v>
      </c>
      <c r="G79" s="4">
        <f t="shared" si="13"/>
        <v>2590</v>
      </c>
      <c r="H79" s="4">
        <f t="shared" si="14"/>
        <v>191660</v>
      </c>
    </row>
    <row r="80" spans="1:8" x14ac:dyDescent="0.2">
      <c r="A80" s="4">
        <v>76</v>
      </c>
      <c r="B80" s="4">
        <v>75</v>
      </c>
      <c r="C80" s="4">
        <v>35</v>
      </c>
      <c r="D80" s="4">
        <f t="shared" si="10"/>
        <v>5625</v>
      </c>
      <c r="E80" s="4">
        <f t="shared" si="11"/>
        <v>421875</v>
      </c>
      <c r="F80" s="4">
        <f t="shared" si="12"/>
        <v>31640625</v>
      </c>
      <c r="G80" s="4">
        <f t="shared" si="13"/>
        <v>2625</v>
      </c>
      <c r="H80" s="4">
        <f t="shared" si="14"/>
        <v>196875</v>
      </c>
    </row>
    <row r="81" spans="1:8" x14ac:dyDescent="0.2">
      <c r="A81" s="4">
        <v>77</v>
      </c>
      <c r="B81" s="4">
        <v>76</v>
      </c>
      <c r="C81" s="4">
        <v>35</v>
      </c>
      <c r="D81" s="4">
        <f t="shared" si="10"/>
        <v>5776</v>
      </c>
      <c r="E81" s="4">
        <f t="shared" si="11"/>
        <v>438976</v>
      </c>
      <c r="F81" s="4">
        <f t="shared" si="12"/>
        <v>33362176</v>
      </c>
      <c r="G81" s="4">
        <f t="shared" si="13"/>
        <v>2660</v>
      </c>
      <c r="H81" s="4">
        <f t="shared" si="14"/>
        <v>202160</v>
      </c>
    </row>
    <row r="82" spans="1:8" x14ac:dyDescent="0.2">
      <c r="A82" s="4">
        <v>78</v>
      </c>
      <c r="B82" s="4">
        <v>75</v>
      </c>
      <c r="C82" s="4">
        <v>35</v>
      </c>
      <c r="D82" s="4">
        <f t="shared" si="10"/>
        <v>5625</v>
      </c>
      <c r="E82" s="4">
        <f t="shared" si="11"/>
        <v>421875</v>
      </c>
      <c r="F82" s="4">
        <f t="shared" si="12"/>
        <v>31640625</v>
      </c>
      <c r="G82" s="4">
        <f t="shared" si="13"/>
        <v>2625</v>
      </c>
      <c r="H82" s="4">
        <f t="shared" si="14"/>
        <v>196875</v>
      </c>
    </row>
    <row r="83" spans="1:8" x14ac:dyDescent="0.2">
      <c r="A83" s="4">
        <v>79</v>
      </c>
      <c r="B83" s="4">
        <v>73</v>
      </c>
      <c r="C83" s="4">
        <v>35</v>
      </c>
      <c r="D83" s="4">
        <f t="shared" si="10"/>
        <v>5329</v>
      </c>
      <c r="E83" s="4">
        <f t="shared" si="11"/>
        <v>389017</v>
      </c>
      <c r="F83" s="4">
        <f t="shared" si="12"/>
        <v>28398241</v>
      </c>
      <c r="G83" s="4">
        <f t="shared" si="13"/>
        <v>2555</v>
      </c>
      <c r="H83" s="4">
        <f t="shared" si="14"/>
        <v>186515</v>
      </c>
    </row>
    <row r="84" spans="1:8" x14ac:dyDescent="0.2">
      <c r="A84" s="4">
        <v>80</v>
      </c>
      <c r="B84" s="4">
        <v>76</v>
      </c>
      <c r="C84" s="4">
        <v>35</v>
      </c>
      <c r="D84" s="4">
        <f t="shared" si="10"/>
        <v>5776</v>
      </c>
      <c r="E84" s="4">
        <f t="shared" si="11"/>
        <v>438976</v>
      </c>
      <c r="F84" s="4">
        <f t="shared" si="12"/>
        <v>33362176</v>
      </c>
      <c r="G84" s="4">
        <f t="shared" si="13"/>
        <v>2660</v>
      </c>
      <c r="H84" s="4">
        <f t="shared" si="14"/>
        <v>202160</v>
      </c>
    </row>
    <row r="85" spans="1:8" x14ac:dyDescent="0.2">
      <c r="A85" s="4">
        <v>81</v>
      </c>
      <c r="B85" s="4">
        <v>82</v>
      </c>
      <c r="C85" s="4">
        <v>40</v>
      </c>
      <c r="D85" s="4">
        <f t="shared" si="10"/>
        <v>6724</v>
      </c>
      <c r="E85" s="4">
        <f t="shared" si="11"/>
        <v>551368</v>
      </c>
      <c r="F85" s="4">
        <f t="shared" si="12"/>
        <v>45212176</v>
      </c>
      <c r="G85" s="4">
        <f t="shared" si="13"/>
        <v>3280</v>
      </c>
      <c r="H85" s="4">
        <f t="shared" si="14"/>
        <v>268960</v>
      </c>
    </row>
    <row r="86" spans="1:8" x14ac:dyDescent="0.2">
      <c r="A86" s="4">
        <v>82</v>
      </c>
      <c r="B86" s="4">
        <v>83</v>
      </c>
      <c r="C86" s="4">
        <v>40</v>
      </c>
      <c r="D86" s="4">
        <f t="shared" si="10"/>
        <v>6889</v>
      </c>
      <c r="E86" s="4">
        <f t="shared" si="11"/>
        <v>571787</v>
      </c>
      <c r="F86" s="4">
        <f t="shared" si="12"/>
        <v>47458321</v>
      </c>
      <c r="G86" s="4">
        <f t="shared" si="13"/>
        <v>3320</v>
      </c>
      <c r="H86" s="4">
        <f t="shared" si="14"/>
        <v>275560</v>
      </c>
    </row>
    <row r="87" spans="1:8" x14ac:dyDescent="0.2">
      <c r="A87" s="4">
        <v>83</v>
      </c>
      <c r="B87" s="4">
        <v>83</v>
      </c>
      <c r="C87" s="4">
        <v>40</v>
      </c>
      <c r="D87" s="4">
        <f t="shared" si="10"/>
        <v>6889</v>
      </c>
      <c r="E87" s="4">
        <f t="shared" si="11"/>
        <v>571787</v>
      </c>
      <c r="F87" s="4">
        <f t="shared" si="12"/>
        <v>47458321</v>
      </c>
      <c r="G87" s="4">
        <f t="shared" si="13"/>
        <v>3320</v>
      </c>
      <c r="H87" s="4">
        <f t="shared" si="14"/>
        <v>275560</v>
      </c>
    </row>
    <row r="88" spans="1:8" x14ac:dyDescent="0.2">
      <c r="A88" s="4">
        <v>84</v>
      </c>
      <c r="B88" s="4">
        <v>82</v>
      </c>
      <c r="C88" s="4">
        <v>40</v>
      </c>
      <c r="D88" s="4">
        <f t="shared" si="10"/>
        <v>6724</v>
      </c>
      <c r="E88" s="4">
        <f t="shared" si="11"/>
        <v>551368</v>
      </c>
      <c r="F88" s="4">
        <f t="shared" si="12"/>
        <v>45212176</v>
      </c>
      <c r="G88" s="4">
        <f t="shared" si="13"/>
        <v>3280</v>
      </c>
      <c r="H88" s="4">
        <f t="shared" si="14"/>
        <v>268960</v>
      </c>
    </row>
    <row r="89" spans="1:8" x14ac:dyDescent="0.2">
      <c r="A89" s="4">
        <v>85</v>
      </c>
      <c r="B89" s="4">
        <v>83</v>
      </c>
      <c r="C89" s="4">
        <v>40</v>
      </c>
      <c r="D89" s="4">
        <f t="shared" si="10"/>
        <v>6889</v>
      </c>
      <c r="E89" s="4">
        <f t="shared" si="11"/>
        <v>571787</v>
      </c>
      <c r="F89" s="4">
        <f t="shared" si="12"/>
        <v>47458321</v>
      </c>
      <c r="G89" s="4">
        <f t="shared" si="13"/>
        <v>3320</v>
      </c>
      <c r="H89" s="4">
        <f t="shared" si="14"/>
        <v>275560</v>
      </c>
    </row>
    <row r="90" spans="1:8" x14ac:dyDescent="0.2">
      <c r="A90" s="4">
        <v>86</v>
      </c>
      <c r="B90" s="4">
        <v>84</v>
      </c>
      <c r="C90" s="4">
        <v>40</v>
      </c>
      <c r="D90" s="4">
        <f t="shared" si="10"/>
        <v>7056</v>
      </c>
      <c r="E90" s="4">
        <f t="shared" si="11"/>
        <v>592704</v>
      </c>
      <c r="F90" s="4">
        <f t="shared" si="12"/>
        <v>49787136</v>
      </c>
      <c r="G90" s="4">
        <f t="shared" si="13"/>
        <v>3360</v>
      </c>
      <c r="H90" s="4">
        <f t="shared" si="14"/>
        <v>282240</v>
      </c>
    </row>
    <row r="91" spans="1:8" x14ac:dyDescent="0.2">
      <c r="A91" s="4">
        <v>87</v>
      </c>
      <c r="B91" s="4">
        <v>85</v>
      </c>
      <c r="C91" s="4">
        <v>40</v>
      </c>
      <c r="D91" s="4">
        <f t="shared" si="10"/>
        <v>7225</v>
      </c>
      <c r="E91" s="4">
        <f t="shared" si="11"/>
        <v>614125</v>
      </c>
      <c r="F91" s="4">
        <f t="shared" si="12"/>
        <v>52200625</v>
      </c>
      <c r="G91" s="4">
        <f t="shared" si="13"/>
        <v>3400</v>
      </c>
      <c r="H91" s="4">
        <f t="shared" si="14"/>
        <v>289000</v>
      </c>
    </row>
    <row r="92" spans="1:8" x14ac:dyDescent="0.2">
      <c r="A92" s="4">
        <v>88</v>
      </c>
      <c r="B92" s="4">
        <v>84</v>
      </c>
      <c r="C92" s="4">
        <v>40</v>
      </c>
      <c r="D92" s="4">
        <f t="shared" si="10"/>
        <v>7056</v>
      </c>
      <c r="E92" s="4">
        <f t="shared" si="11"/>
        <v>592704</v>
      </c>
      <c r="F92" s="4">
        <f t="shared" si="12"/>
        <v>49787136</v>
      </c>
      <c r="G92" s="4">
        <f t="shared" si="13"/>
        <v>3360</v>
      </c>
      <c r="H92" s="4">
        <f t="shared" si="14"/>
        <v>282240</v>
      </c>
    </row>
    <row r="93" spans="1:8" x14ac:dyDescent="0.2">
      <c r="A93" s="4">
        <v>89</v>
      </c>
      <c r="B93" s="4">
        <v>84</v>
      </c>
      <c r="C93" s="4">
        <v>40</v>
      </c>
      <c r="D93" s="4">
        <f t="shared" si="10"/>
        <v>7056</v>
      </c>
      <c r="E93" s="4">
        <f t="shared" si="11"/>
        <v>592704</v>
      </c>
      <c r="F93" s="4">
        <f t="shared" si="12"/>
        <v>49787136</v>
      </c>
      <c r="G93" s="4">
        <f t="shared" si="13"/>
        <v>3360</v>
      </c>
      <c r="H93" s="4">
        <f t="shared" si="14"/>
        <v>282240</v>
      </c>
    </row>
    <row r="94" spans="1:8" x14ac:dyDescent="0.2">
      <c r="A94" s="4">
        <v>90</v>
      </c>
      <c r="B94" s="4">
        <v>85</v>
      </c>
      <c r="C94" s="4">
        <v>40</v>
      </c>
      <c r="D94" s="4">
        <f t="shared" si="10"/>
        <v>7225</v>
      </c>
      <c r="E94" s="4">
        <f t="shared" si="11"/>
        <v>614125</v>
      </c>
      <c r="F94" s="4">
        <f t="shared" si="12"/>
        <v>52200625</v>
      </c>
      <c r="G94" s="4">
        <f t="shared" si="13"/>
        <v>3400</v>
      </c>
      <c r="H94" s="4">
        <f t="shared" si="14"/>
        <v>289000</v>
      </c>
    </row>
    <row r="95" spans="1:8" x14ac:dyDescent="0.2">
      <c r="A95" s="4">
        <v>91</v>
      </c>
      <c r="B95" s="4">
        <v>86</v>
      </c>
      <c r="C95" s="4">
        <v>40</v>
      </c>
      <c r="D95" s="4">
        <f t="shared" si="10"/>
        <v>7396</v>
      </c>
      <c r="E95" s="4">
        <f t="shared" si="11"/>
        <v>636056</v>
      </c>
      <c r="F95" s="4">
        <f t="shared" si="12"/>
        <v>54700816</v>
      </c>
      <c r="G95" s="4">
        <f t="shared" si="13"/>
        <v>3440</v>
      </c>
      <c r="H95" s="4">
        <f t="shared" si="14"/>
        <v>295840</v>
      </c>
    </row>
    <row r="96" spans="1:8" x14ac:dyDescent="0.2">
      <c r="A96" s="4">
        <v>92</v>
      </c>
      <c r="B96" s="4">
        <v>84</v>
      </c>
      <c r="C96" s="4">
        <v>40</v>
      </c>
      <c r="D96" s="4">
        <f t="shared" si="10"/>
        <v>7056</v>
      </c>
      <c r="E96" s="4">
        <f t="shared" si="11"/>
        <v>592704</v>
      </c>
      <c r="F96" s="4">
        <f t="shared" si="12"/>
        <v>49787136</v>
      </c>
      <c r="G96" s="4">
        <f t="shared" si="13"/>
        <v>3360</v>
      </c>
      <c r="H96" s="4">
        <f t="shared" si="14"/>
        <v>282240</v>
      </c>
    </row>
    <row r="97" spans="1:8" x14ac:dyDescent="0.2">
      <c r="A97" s="4">
        <v>93</v>
      </c>
      <c r="B97" s="4">
        <v>83</v>
      </c>
      <c r="C97" s="4">
        <v>40</v>
      </c>
      <c r="D97" s="4">
        <f t="shared" si="10"/>
        <v>6889</v>
      </c>
      <c r="E97" s="4">
        <f t="shared" si="11"/>
        <v>571787</v>
      </c>
      <c r="F97" s="4">
        <f t="shared" si="12"/>
        <v>47458321</v>
      </c>
      <c r="G97" s="4">
        <f t="shared" si="13"/>
        <v>3320</v>
      </c>
      <c r="H97" s="4">
        <f t="shared" si="14"/>
        <v>275560</v>
      </c>
    </row>
    <row r="98" spans="1:8" x14ac:dyDescent="0.2">
      <c r="A98" s="4">
        <v>94</v>
      </c>
      <c r="B98" s="4">
        <v>84</v>
      </c>
      <c r="C98" s="4">
        <v>40</v>
      </c>
      <c r="D98" s="4">
        <f t="shared" si="10"/>
        <v>7056</v>
      </c>
      <c r="E98" s="4">
        <f t="shared" si="11"/>
        <v>592704</v>
      </c>
      <c r="F98" s="4">
        <f t="shared" si="12"/>
        <v>49787136</v>
      </c>
      <c r="G98" s="4">
        <f t="shared" si="13"/>
        <v>3360</v>
      </c>
      <c r="H98" s="4">
        <f t="shared" si="14"/>
        <v>282240</v>
      </c>
    </row>
    <row r="99" spans="1:8" x14ac:dyDescent="0.2">
      <c r="A99" s="4">
        <v>95</v>
      </c>
      <c r="B99" s="4">
        <v>84</v>
      </c>
      <c r="C99" s="4">
        <v>40</v>
      </c>
      <c r="D99" s="4">
        <f t="shared" si="10"/>
        <v>7056</v>
      </c>
      <c r="E99" s="4">
        <f t="shared" si="11"/>
        <v>592704</v>
      </c>
      <c r="F99" s="4">
        <f t="shared" si="12"/>
        <v>49787136</v>
      </c>
      <c r="G99" s="4">
        <f t="shared" si="13"/>
        <v>3360</v>
      </c>
      <c r="H99" s="4">
        <f t="shared" si="14"/>
        <v>282240</v>
      </c>
    </row>
    <row r="100" spans="1:8" x14ac:dyDescent="0.2">
      <c r="A100" s="4">
        <v>96</v>
      </c>
      <c r="B100" s="4">
        <v>83</v>
      </c>
      <c r="C100" s="4">
        <v>40</v>
      </c>
      <c r="D100" s="4">
        <f t="shared" si="10"/>
        <v>6889</v>
      </c>
      <c r="E100" s="4">
        <f t="shared" si="11"/>
        <v>571787</v>
      </c>
      <c r="F100" s="4">
        <f t="shared" si="12"/>
        <v>47458321</v>
      </c>
      <c r="G100" s="4">
        <f t="shared" si="13"/>
        <v>3320</v>
      </c>
      <c r="H100" s="4">
        <f t="shared" si="14"/>
        <v>275560</v>
      </c>
    </row>
    <row r="101" spans="1:8" x14ac:dyDescent="0.2">
      <c r="A101" s="4">
        <v>97</v>
      </c>
      <c r="B101" s="4">
        <v>84</v>
      </c>
      <c r="C101" s="4">
        <v>40</v>
      </c>
      <c r="D101" s="4">
        <f t="shared" ref="D101:D124" si="15">B101^2</f>
        <v>7056</v>
      </c>
      <c r="E101" s="4">
        <f t="shared" ref="E101:E124" si="16">B101^3</f>
        <v>592704</v>
      </c>
      <c r="F101" s="4">
        <f t="shared" ref="F101:F124" si="17">B101^4</f>
        <v>49787136</v>
      </c>
      <c r="G101" s="4">
        <f t="shared" ref="G101:G124" si="18">B101*C101</f>
        <v>3360</v>
      </c>
      <c r="H101" s="4">
        <f t="shared" ref="H101:H124" si="19">D101*C101</f>
        <v>282240</v>
      </c>
    </row>
    <row r="102" spans="1:8" x14ac:dyDescent="0.2">
      <c r="A102" s="4">
        <v>98</v>
      </c>
      <c r="B102" s="4">
        <v>82</v>
      </c>
      <c r="C102" s="4">
        <v>40</v>
      </c>
      <c r="D102" s="4">
        <f t="shared" si="15"/>
        <v>6724</v>
      </c>
      <c r="E102" s="4">
        <f t="shared" si="16"/>
        <v>551368</v>
      </c>
      <c r="F102" s="4">
        <f t="shared" si="17"/>
        <v>45212176</v>
      </c>
      <c r="G102" s="4">
        <f t="shared" si="18"/>
        <v>3280</v>
      </c>
      <c r="H102" s="4">
        <f t="shared" si="19"/>
        <v>268960</v>
      </c>
    </row>
    <row r="103" spans="1:8" x14ac:dyDescent="0.2">
      <c r="A103" s="4">
        <v>99</v>
      </c>
      <c r="B103" s="4">
        <v>83</v>
      </c>
      <c r="C103" s="4">
        <v>40</v>
      </c>
      <c r="D103" s="4">
        <f t="shared" si="15"/>
        <v>6889</v>
      </c>
      <c r="E103" s="4">
        <f t="shared" si="16"/>
        <v>571787</v>
      </c>
      <c r="F103" s="4">
        <f t="shared" si="17"/>
        <v>47458321</v>
      </c>
      <c r="G103" s="4">
        <f t="shared" si="18"/>
        <v>3320</v>
      </c>
      <c r="H103" s="4">
        <f t="shared" si="19"/>
        <v>275560</v>
      </c>
    </row>
    <row r="104" spans="1:8" x14ac:dyDescent="0.2">
      <c r="A104" s="4">
        <v>100</v>
      </c>
      <c r="B104" s="4">
        <v>84</v>
      </c>
      <c r="C104" s="4">
        <v>40</v>
      </c>
      <c r="D104" s="4">
        <f t="shared" si="15"/>
        <v>7056</v>
      </c>
      <c r="E104" s="4">
        <f t="shared" si="16"/>
        <v>592704</v>
      </c>
      <c r="F104" s="4">
        <f t="shared" si="17"/>
        <v>49787136</v>
      </c>
      <c r="G104" s="4">
        <f t="shared" si="18"/>
        <v>3360</v>
      </c>
      <c r="H104" s="4">
        <f t="shared" si="19"/>
        <v>282240</v>
      </c>
    </row>
    <row r="105" spans="1:8" x14ac:dyDescent="0.2">
      <c r="A105" s="4">
        <v>101</v>
      </c>
      <c r="B105" s="4">
        <v>94</v>
      </c>
      <c r="C105" s="4">
        <v>50</v>
      </c>
      <c r="D105" s="4">
        <f t="shared" si="15"/>
        <v>8836</v>
      </c>
      <c r="E105" s="4">
        <f t="shared" si="16"/>
        <v>830584</v>
      </c>
      <c r="F105" s="4">
        <f t="shared" si="17"/>
        <v>78074896</v>
      </c>
      <c r="G105" s="4">
        <f t="shared" si="18"/>
        <v>4700</v>
      </c>
      <c r="H105" s="4">
        <f t="shared" si="19"/>
        <v>441800</v>
      </c>
    </row>
    <row r="106" spans="1:8" x14ac:dyDescent="0.2">
      <c r="A106" s="4">
        <v>102</v>
      </c>
      <c r="B106" s="4">
        <v>95</v>
      </c>
      <c r="C106" s="4">
        <v>50</v>
      </c>
      <c r="D106" s="4">
        <f t="shared" si="15"/>
        <v>9025</v>
      </c>
      <c r="E106" s="4">
        <f t="shared" si="16"/>
        <v>857375</v>
      </c>
      <c r="F106" s="4">
        <f t="shared" si="17"/>
        <v>81450625</v>
      </c>
      <c r="G106" s="4">
        <f t="shared" si="18"/>
        <v>4750</v>
      </c>
      <c r="H106" s="4">
        <f t="shared" si="19"/>
        <v>451250</v>
      </c>
    </row>
    <row r="107" spans="1:8" x14ac:dyDescent="0.2">
      <c r="A107" s="4">
        <v>103</v>
      </c>
      <c r="B107" s="4">
        <v>96</v>
      </c>
      <c r="C107" s="4">
        <v>50</v>
      </c>
      <c r="D107" s="4">
        <f t="shared" si="15"/>
        <v>9216</v>
      </c>
      <c r="E107" s="4">
        <f t="shared" si="16"/>
        <v>884736</v>
      </c>
      <c r="F107" s="4">
        <f t="shared" si="17"/>
        <v>84934656</v>
      </c>
      <c r="G107" s="4">
        <f t="shared" si="18"/>
        <v>4800</v>
      </c>
      <c r="H107" s="4">
        <f t="shared" si="19"/>
        <v>460800</v>
      </c>
    </row>
    <row r="108" spans="1:8" x14ac:dyDescent="0.2">
      <c r="A108" s="4">
        <v>104</v>
      </c>
      <c r="B108" s="4">
        <v>95</v>
      </c>
      <c r="C108" s="4">
        <v>50</v>
      </c>
      <c r="D108" s="4">
        <f t="shared" si="15"/>
        <v>9025</v>
      </c>
      <c r="E108" s="4">
        <f t="shared" si="16"/>
        <v>857375</v>
      </c>
      <c r="F108" s="4">
        <f t="shared" si="17"/>
        <v>81450625</v>
      </c>
      <c r="G108" s="4">
        <f t="shared" si="18"/>
        <v>4750</v>
      </c>
      <c r="H108" s="4">
        <f t="shared" si="19"/>
        <v>451250</v>
      </c>
    </row>
    <row r="109" spans="1:8" x14ac:dyDescent="0.2">
      <c r="A109" s="4">
        <v>105</v>
      </c>
      <c r="B109" s="4">
        <v>96</v>
      </c>
      <c r="C109" s="4">
        <v>50</v>
      </c>
      <c r="D109" s="4">
        <f t="shared" si="15"/>
        <v>9216</v>
      </c>
      <c r="E109" s="4">
        <f t="shared" si="16"/>
        <v>884736</v>
      </c>
      <c r="F109" s="4">
        <f t="shared" si="17"/>
        <v>84934656</v>
      </c>
      <c r="G109" s="4">
        <f t="shared" si="18"/>
        <v>4800</v>
      </c>
      <c r="H109" s="4">
        <f t="shared" si="19"/>
        <v>460800</v>
      </c>
    </row>
    <row r="110" spans="1:8" x14ac:dyDescent="0.2">
      <c r="A110" s="4">
        <v>106</v>
      </c>
      <c r="B110" s="4">
        <v>94</v>
      </c>
      <c r="C110" s="4">
        <v>50</v>
      </c>
      <c r="D110" s="4">
        <f t="shared" si="15"/>
        <v>8836</v>
      </c>
      <c r="E110" s="4">
        <f t="shared" si="16"/>
        <v>830584</v>
      </c>
      <c r="F110" s="4">
        <f t="shared" si="17"/>
        <v>78074896</v>
      </c>
      <c r="G110" s="4">
        <f t="shared" si="18"/>
        <v>4700</v>
      </c>
      <c r="H110" s="4">
        <f t="shared" si="19"/>
        <v>441800</v>
      </c>
    </row>
    <row r="111" spans="1:8" x14ac:dyDescent="0.2">
      <c r="A111" s="4">
        <v>107</v>
      </c>
      <c r="B111" s="4">
        <v>96</v>
      </c>
      <c r="C111" s="4">
        <v>50</v>
      </c>
      <c r="D111" s="4">
        <f t="shared" si="15"/>
        <v>9216</v>
      </c>
      <c r="E111" s="4">
        <f t="shared" si="16"/>
        <v>884736</v>
      </c>
      <c r="F111" s="4">
        <f t="shared" si="17"/>
        <v>84934656</v>
      </c>
      <c r="G111" s="4">
        <f t="shared" si="18"/>
        <v>4800</v>
      </c>
      <c r="H111" s="4">
        <f t="shared" si="19"/>
        <v>460800</v>
      </c>
    </row>
    <row r="112" spans="1:8" x14ac:dyDescent="0.2">
      <c r="A112" s="4">
        <v>108</v>
      </c>
      <c r="B112" s="4">
        <v>95</v>
      </c>
      <c r="C112" s="4">
        <v>50</v>
      </c>
      <c r="D112" s="4">
        <f t="shared" si="15"/>
        <v>9025</v>
      </c>
      <c r="E112" s="4">
        <f t="shared" si="16"/>
        <v>857375</v>
      </c>
      <c r="F112" s="4">
        <f t="shared" si="17"/>
        <v>81450625</v>
      </c>
      <c r="G112" s="4">
        <f t="shared" si="18"/>
        <v>4750</v>
      </c>
      <c r="H112" s="4">
        <f t="shared" si="19"/>
        <v>451250</v>
      </c>
    </row>
    <row r="113" spans="1:8" x14ac:dyDescent="0.2">
      <c r="A113" s="4">
        <v>109</v>
      </c>
      <c r="B113" s="4">
        <v>94</v>
      </c>
      <c r="C113" s="4">
        <v>50</v>
      </c>
      <c r="D113" s="4">
        <f t="shared" si="15"/>
        <v>8836</v>
      </c>
      <c r="E113" s="4">
        <f t="shared" si="16"/>
        <v>830584</v>
      </c>
      <c r="F113" s="4">
        <f t="shared" si="17"/>
        <v>78074896</v>
      </c>
      <c r="G113" s="4">
        <f t="shared" si="18"/>
        <v>4700</v>
      </c>
      <c r="H113" s="4">
        <f t="shared" si="19"/>
        <v>441800</v>
      </c>
    </row>
    <row r="114" spans="1:8" x14ac:dyDescent="0.2">
      <c r="A114" s="4">
        <v>110</v>
      </c>
      <c r="B114" s="4">
        <v>93</v>
      </c>
      <c r="C114" s="4">
        <v>50</v>
      </c>
      <c r="D114" s="4">
        <f t="shared" si="15"/>
        <v>8649</v>
      </c>
      <c r="E114" s="4">
        <f t="shared" si="16"/>
        <v>804357</v>
      </c>
      <c r="F114" s="4">
        <f t="shared" si="17"/>
        <v>74805201</v>
      </c>
      <c r="G114" s="4">
        <f t="shared" si="18"/>
        <v>4650</v>
      </c>
      <c r="H114" s="4">
        <f t="shared" si="19"/>
        <v>432450</v>
      </c>
    </row>
    <row r="115" spans="1:8" x14ac:dyDescent="0.2">
      <c r="A115" s="4">
        <v>111</v>
      </c>
      <c r="B115" s="4">
        <v>92</v>
      </c>
      <c r="C115" s="4">
        <v>50</v>
      </c>
      <c r="D115" s="4">
        <f t="shared" si="15"/>
        <v>8464</v>
      </c>
      <c r="E115" s="4">
        <f t="shared" si="16"/>
        <v>778688</v>
      </c>
      <c r="F115" s="4">
        <f t="shared" si="17"/>
        <v>71639296</v>
      </c>
      <c r="G115" s="4">
        <f t="shared" si="18"/>
        <v>4600</v>
      </c>
      <c r="H115" s="4">
        <f t="shared" si="19"/>
        <v>423200</v>
      </c>
    </row>
    <row r="116" spans="1:8" x14ac:dyDescent="0.2">
      <c r="A116" s="4">
        <v>112</v>
      </c>
      <c r="B116" s="4">
        <v>96</v>
      </c>
      <c r="C116" s="4">
        <v>50</v>
      </c>
      <c r="D116" s="4">
        <f t="shared" si="15"/>
        <v>9216</v>
      </c>
      <c r="E116" s="4">
        <f t="shared" si="16"/>
        <v>884736</v>
      </c>
      <c r="F116" s="4">
        <f t="shared" si="17"/>
        <v>84934656</v>
      </c>
      <c r="G116" s="4">
        <f t="shared" si="18"/>
        <v>4800</v>
      </c>
      <c r="H116" s="4">
        <f t="shared" si="19"/>
        <v>460800</v>
      </c>
    </row>
    <row r="117" spans="1:8" x14ac:dyDescent="0.2">
      <c r="A117" s="4">
        <v>113</v>
      </c>
      <c r="B117" s="4">
        <v>93</v>
      </c>
      <c r="C117" s="4">
        <v>50</v>
      </c>
      <c r="D117" s="4">
        <f t="shared" si="15"/>
        <v>8649</v>
      </c>
      <c r="E117" s="4">
        <f t="shared" si="16"/>
        <v>804357</v>
      </c>
      <c r="F117" s="4">
        <f t="shared" si="17"/>
        <v>74805201</v>
      </c>
      <c r="G117" s="4">
        <f t="shared" si="18"/>
        <v>4650</v>
      </c>
      <c r="H117" s="4">
        <f t="shared" si="19"/>
        <v>432450</v>
      </c>
    </row>
    <row r="118" spans="1:8" x14ac:dyDescent="0.2">
      <c r="A118" s="4">
        <v>114</v>
      </c>
      <c r="B118" s="4">
        <v>94</v>
      </c>
      <c r="C118" s="4">
        <v>50</v>
      </c>
      <c r="D118" s="4">
        <f t="shared" si="15"/>
        <v>8836</v>
      </c>
      <c r="E118" s="4">
        <f t="shared" si="16"/>
        <v>830584</v>
      </c>
      <c r="F118" s="4">
        <f t="shared" si="17"/>
        <v>78074896</v>
      </c>
      <c r="G118" s="4">
        <f t="shared" si="18"/>
        <v>4700</v>
      </c>
      <c r="H118" s="4">
        <f t="shared" si="19"/>
        <v>441800</v>
      </c>
    </row>
    <row r="119" spans="1:8" x14ac:dyDescent="0.2">
      <c r="A119" s="4">
        <v>115</v>
      </c>
      <c r="B119" s="4">
        <v>95</v>
      </c>
      <c r="C119" s="4">
        <v>50</v>
      </c>
      <c r="D119" s="4">
        <f t="shared" si="15"/>
        <v>9025</v>
      </c>
      <c r="E119" s="4">
        <f t="shared" si="16"/>
        <v>857375</v>
      </c>
      <c r="F119" s="4">
        <f t="shared" si="17"/>
        <v>81450625</v>
      </c>
      <c r="G119" s="4">
        <f t="shared" si="18"/>
        <v>4750</v>
      </c>
      <c r="H119" s="4">
        <f t="shared" si="19"/>
        <v>451250</v>
      </c>
    </row>
    <row r="120" spans="1:8" x14ac:dyDescent="0.2">
      <c r="A120" s="4">
        <v>116</v>
      </c>
      <c r="B120" s="4">
        <v>94</v>
      </c>
      <c r="C120" s="4">
        <v>50</v>
      </c>
      <c r="D120" s="4">
        <f t="shared" si="15"/>
        <v>8836</v>
      </c>
      <c r="E120" s="4">
        <f t="shared" si="16"/>
        <v>830584</v>
      </c>
      <c r="F120" s="4">
        <f t="shared" si="17"/>
        <v>78074896</v>
      </c>
      <c r="G120" s="4">
        <f t="shared" si="18"/>
        <v>4700</v>
      </c>
      <c r="H120" s="4">
        <f t="shared" si="19"/>
        <v>441800</v>
      </c>
    </row>
    <row r="121" spans="1:8" x14ac:dyDescent="0.2">
      <c r="A121" s="4">
        <v>117</v>
      </c>
      <c r="B121" s="4">
        <v>93</v>
      </c>
      <c r="C121" s="4">
        <v>50</v>
      </c>
      <c r="D121" s="4">
        <f t="shared" si="15"/>
        <v>8649</v>
      </c>
      <c r="E121" s="4">
        <f t="shared" si="16"/>
        <v>804357</v>
      </c>
      <c r="F121" s="4">
        <f t="shared" si="17"/>
        <v>74805201</v>
      </c>
      <c r="G121" s="4">
        <f t="shared" si="18"/>
        <v>4650</v>
      </c>
      <c r="H121" s="4">
        <f t="shared" si="19"/>
        <v>432450</v>
      </c>
    </row>
    <row r="122" spans="1:8" x14ac:dyDescent="0.2">
      <c r="A122" s="4">
        <v>118</v>
      </c>
      <c r="B122" s="4">
        <v>96</v>
      </c>
      <c r="C122" s="4">
        <v>50</v>
      </c>
      <c r="D122" s="4">
        <f t="shared" si="15"/>
        <v>9216</v>
      </c>
      <c r="E122" s="4">
        <f t="shared" si="16"/>
        <v>884736</v>
      </c>
      <c r="F122" s="4">
        <f t="shared" si="17"/>
        <v>84934656</v>
      </c>
      <c r="G122" s="4">
        <f t="shared" si="18"/>
        <v>4800</v>
      </c>
      <c r="H122" s="4">
        <f t="shared" si="19"/>
        <v>460800</v>
      </c>
    </row>
    <row r="123" spans="1:8" x14ac:dyDescent="0.2">
      <c r="A123" s="4">
        <v>119</v>
      </c>
      <c r="B123" s="4">
        <v>95</v>
      </c>
      <c r="C123" s="4">
        <v>50</v>
      </c>
      <c r="D123" s="4">
        <f t="shared" si="15"/>
        <v>9025</v>
      </c>
      <c r="E123" s="4">
        <f t="shared" si="16"/>
        <v>857375</v>
      </c>
      <c r="F123" s="4">
        <f t="shared" si="17"/>
        <v>81450625</v>
      </c>
      <c r="G123" s="4">
        <f t="shared" si="18"/>
        <v>4750</v>
      </c>
      <c r="H123" s="4">
        <f t="shared" si="19"/>
        <v>451250</v>
      </c>
    </row>
    <row r="124" spans="1:8" x14ac:dyDescent="0.2">
      <c r="A124" s="4">
        <v>120</v>
      </c>
      <c r="B124" s="4">
        <v>94</v>
      </c>
      <c r="C124" s="4">
        <v>50</v>
      </c>
      <c r="D124" s="4">
        <f t="shared" si="15"/>
        <v>8836</v>
      </c>
      <c r="E124" s="4">
        <f t="shared" si="16"/>
        <v>830584</v>
      </c>
      <c r="F124" s="4">
        <f t="shared" si="17"/>
        <v>78074896</v>
      </c>
      <c r="G124" s="4">
        <f t="shared" si="18"/>
        <v>4700</v>
      </c>
      <c r="H124" s="4">
        <f t="shared" si="19"/>
        <v>441800</v>
      </c>
    </row>
    <row r="125" spans="1:8" x14ac:dyDescent="0.2">
      <c r="A125" s="7" t="s">
        <v>16</v>
      </c>
      <c r="B125" s="7">
        <f t="shared" ref="B125:H125" si="20">SUM(B5:B124)</f>
        <v>8707</v>
      </c>
      <c r="C125" s="7">
        <f t="shared" si="20"/>
        <v>4000</v>
      </c>
      <c r="D125" s="7">
        <f t="shared" si="20"/>
        <v>655335</v>
      </c>
      <c r="E125" s="7">
        <f t="shared" si="20"/>
        <v>51012403</v>
      </c>
      <c r="F125" s="7">
        <f t="shared" si="20"/>
        <v>4091502567</v>
      </c>
      <c r="G125" s="7">
        <f t="shared" si="20"/>
        <v>306690</v>
      </c>
      <c r="H125" s="7">
        <f t="shared" si="20"/>
        <v>24277750</v>
      </c>
    </row>
    <row r="128" spans="1:8" x14ac:dyDescent="0.2">
      <c r="A128" s="6" t="s">
        <v>17</v>
      </c>
    </row>
    <row r="129" spans="1:6" x14ac:dyDescent="0.2">
      <c r="A129" s="6" t="s">
        <v>18</v>
      </c>
      <c r="B129">
        <f>((B2*G125)-(B125*C125)) / ((B2*D125)-(B125^2))</f>
        <v>0.69821602764296231</v>
      </c>
    </row>
    <row r="130" spans="1:6" x14ac:dyDescent="0.2">
      <c r="A130" s="6" t="s">
        <v>19</v>
      </c>
      <c r="B130">
        <f>(C125-B129*B125)/B2</f>
        <v>-17.328057939060606</v>
      </c>
    </row>
    <row r="133" spans="1:6" x14ac:dyDescent="0.2">
      <c r="A133" s="6" t="s">
        <v>20</v>
      </c>
    </row>
    <row r="134" spans="1:6" x14ac:dyDescent="0.2">
      <c r="A134" s="6" t="s">
        <v>21</v>
      </c>
    </row>
    <row r="135" spans="1:6" x14ac:dyDescent="0.2">
      <c r="B135" s="8" t="s">
        <v>7</v>
      </c>
      <c r="C135" s="8" t="s">
        <v>22</v>
      </c>
      <c r="D135" s="8" t="s">
        <v>23</v>
      </c>
      <c r="F135" s="6" t="s">
        <v>24</v>
      </c>
    </row>
    <row r="136" spans="1:6" x14ac:dyDescent="0.2">
      <c r="A136" t="s">
        <v>25</v>
      </c>
      <c r="B136">
        <f>B2</f>
        <v>120</v>
      </c>
      <c r="C136">
        <f>B125</f>
        <v>8707</v>
      </c>
      <c r="D136">
        <f>D125</f>
        <v>655335</v>
      </c>
      <c r="F136">
        <f>C125</f>
        <v>4000</v>
      </c>
    </row>
    <row r="137" spans="1:6" x14ac:dyDescent="0.2">
      <c r="A137" t="s">
        <v>26</v>
      </c>
      <c r="B137">
        <f>B125</f>
        <v>8707</v>
      </c>
      <c r="C137">
        <f>D125</f>
        <v>655335</v>
      </c>
      <c r="D137">
        <f>E125</f>
        <v>51012403</v>
      </c>
      <c r="F137">
        <f>G125</f>
        <v>306690</v>
      </c>
    </row>
    <row r="138" spans="1:6" x14ac:dyDescent="0.2">
      <c r="A138" t="s">
        <v>27</v>
      </c>
      <c r="B138">
        <f>D125</f>
        <v>655335</v>
      </c>
      <c r="C138">
        <f>E125</f>
        <v>51012403</v>
      </c>
      <c r="D138">
        <f>F125</f>
        <v>4091502567</v>
      </c>
      <c r="F138">
        <f>H125</f>
        <v>24277750</v>
      </c>
    </row>
    <row r="140" spans="1:6" x14ac:dyDescent="0.2">
      <c r="A140" s="6" t="s">
        <v>28</v>
      </c>
    </row>
    <row r="141" spans="1:6" x14ac:dyDescent="0.2">
      <c r="A141" s="6" t="s">
        <v>29</v>
      </c>
      <c r="B141">
        <f>INDEX(MMULT(MINVERSE(B136:D138),F136:F138),1,1)</f>
        <v>3.0975161355599994</v>
      </c>
    </row>
    <row r="142" spans="1:6" x14ac:dyDescent="0.2">
      <c r="A142" s="6" t="s">
        <v>30</v>
      </c>
      <c r="B142">
        <f>INDEX(MMULT(MINVERSE(B136:D138),F136:F138),2,1)</f>
        <v>0.12094013694968453</v>
      </c>
    </row>
    <row r="143" spans="1:6" x14ac:dyDescent="0.2">
      <c r="A143" s="6" t="s">
        <v>31</v>
      </c>
      <c r="B143">
        <f>INDEX(MMULT(MINVERSE(B136:D138),F136:F138),3,1)</f>
        <v>3.9297035734566776E-3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33</v>
      </c>
    </row>
    <row r="2" spans="1:8" x14ac:dyDescent="0.2">
      <c r="A2" s="6" t="s">
        <v>7</v>
      </c>
      <c r="B2">
        <v>80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112</v>
      </c>
      <c r="C5" s="4">
        <v>70</v>
      </c>
      <c r="D5" s="4">
        <f t="shared" ref="D5:D36" si="0">B5^2</f>
        <v>12544</v>
      </c>
      <c r="E5" s="4">
        <f t="shared" ref="E5:E36" si="1">B5^3</f>
        <v>1404928</v>
      </c>
      <c r="F5" s="4">
        <f t="shared" ref="F5:F36" si="2">B5^4</f>
        <v>157351936</v>
      </c>
      <c r="G5" s="4">
        <f t="shared" ref="G5:G36" si="3">B5*C5</f>
        <v>7840</v>
      </c>
      <c r="H5" s="4">
        <f t="shared" ref="H5:H36" si="4">D5*C5</f>
        <v>878080</v>
      </c>
    </row>
    <row r="6" spans="1:8" x14ac:dyDescent="0.2">
      <c r="A6" s="4">
        <v>2</v>
      </c>
      <c r="B6" s="4">
        <v>114</v>
      </c>
      <c r="C6" s="4">
        <v>70</v>
      </c>
      <c r="D6" s="4">
        <f t="shared" si="0"/>
        <v>12996</v>
      </c>
      <c r="E6" s="4">
        <f t="shared" si="1"/>
        <v>1481544</v>
      </c>
      <c r="F6" s="4">
        <f t="shared" si="2"/>
        <v>168896016</v>
      </c>
      <c r="G6" s="4">
        <f t="shared" si="3"/>
        <v>7980</v>
      </c>
      <c r="H6" s="4">
        <f t="shared" si="4"/>
        <v>909720</v>
      </c>
    </row>
    <row r="7" spans="1:8" x14ac:dyDescent="0.2">
      <c r="A7" s="4">
        <v>3</v>
      </c>
      <c r="B7" s="4">
        <v>116</v>
      </c>
      <c r="C7" s="4">
        <v>70</v>
      </c>
      <c r="D7" s="4">
        <f t="shared" si="0"/>
        <v>13456</v>
      </c>
      <c r="E7" s="4">
        <f t="shared" si="1"/>
        <v>1560896</v>
      </c>
      <c r="F7" s="4">
        <f t="shared" si="2"/>
        <v>181063936</v>
      </c>
      <c r="G7" s="4">
        <f t="shared" si="3"/>
        <v>8120</v>
      </c>
      <c r="H7" s="4">
        <f t="shared" si="4"/>
        <v>941920</v>
      </c>
    </row>
    <row r="8" spans="1:8" x14ac:dyDescent="0.2">
      <c r="A8" s="4">
        <v>4</v>
      </c>
      <c r="B8" s="4">
        <v>115</v>
      </c>
      <c r="C8" s="4">
        <v>70</v>
      </c>
      <c r="D8" s="4">
        <f t="shared" si="0"/>
        <v>13225</v>
      </c>
      <c r="E8" s="4">
        <f t="shared" si="1"/>
        <v>1520875</v>
      </c>
      <c r="F8" s="4">
        <f t="shared" si="2"/>
        <v>174900625</v>
      </c>
      <c r="G8" s="4">
        <f t="shared" si="3"/>
        <v>8050</v>
      </c>
      <c r="H8" s="4">
        <f t="shared" si="4"/>
        <v>925750</v>
      </c>
    </row>
    <row r="9" spans="1:8" x14ac:dyDescent="0.2">
      <c r="A9" s="4">
        <v>5</v>
      </c>
      <c r="B9" s="4">
        <v>114</v>
      </c>
      <c r="C9" s="4">
        <v>70</v>
      </c>
      <c r="D9" s="4">
        <f t="shared" si="0"/>
        <v>12996</v>
      </c>
      <c r="E9" s="4">
        <f t="shared" si="1"/>
        <v>1481544</v>
      </c>
      <c r="F9" s="4">
        <f t="shared" si="2"/>
        <v>168896016</v>
      </c>
      <c r="G9" s="4">
        <f t="shared" si="3"/>
        <v>7980</v>
      </c>
      <c r="H9" s="4">
        <f t="shared" si="4"/>
        <v>909720</v>
      </c>
    </row>
    <row r="10" spans="1:8" x14ac:dyDescent="0.2">
      <c r="A10" s="4">
        <v>6</v>
      </c>
      <c r="B10" s="4">
        <v>116</v>
      </c>
      <c r="C10" s="4">
        <v>70</v>
      </c>
      <c r="D10" s="4">
        <f t="shared" si="0"/>
        <v>13456</v>
      </c>
      <c r="E10" s="4">
        <f t="shared" si="1"/>
        <v>1560896</v>
      </c>
      <c r="F10" s="4">
        <f t="shared" si="2"/>
        <v>181063936</v>
      </c>
      <c r="G10" s="4">
        <f t="shared" si="3"/>
        <v>8120</v>
      </c>
      <c r="H10" s="4">
        <f t="shared" si="4"/>
        <v>941920</v>
      </c>
    </row>
    <row r="11" spans="1:8" x14ac:dyDescent="0.2">
      <c r="A11" s="4">
        <v>7</v>
      </c>
      <c r="B11" s="4">
        <v>113</v>
      </c>
      <c r="C11" s="4">
        <v>70</v>
      </c>
      <c r="D11" s="4">
        <f t="shared" si="0"/>
        <v>12769</v>
      </c>
      <c r="E11" s="4">
        <f t="shared" si="1"/>
        <v>1442897</v>
      </c>
      <c r="F11" s="4">
        <f t="shared" si="2"/>
        <v>163047361</v>
      </c>
      <c r="G11" s="4">
        <f t="shared" si="3"/>
        <v>7910</v>
      </c>
      <c r="H11" s="4">
        <f t="shared" si="4"/>
        <v>893830</v>
      </c>
    </row>
    <row r="12" spans="1:8" x14ac:dyDescent="0.2">
      <c r="A12" s="4">
        <v>8</v>
      </c>
      <c r="B12" s="4">
        <v>112</v>
      </c>
      <c r="C12" s="4">
        <v>70</v>
      </c>
      <c r="D12" s="4">
        <f t="shared" si="0"/>
        <v>12544</v>
      </c>
      <c r="E12" s="4">
        <f t="shared" si="1"/>
        <v>1404928</v>
      </c>
      <c r="F12" s="4">
        <f t="shared" si="2"/>
        <v>157351936</v>
      </c>
      <c r="G12" s="4">
        <f t="shared" si="3"/>
        <v>7840</v>
      </c>
      <c r="H12" s="4">
        <f t="shared" si="4"/>
        <v>878080</v>
      </c>
    </row>
    <row r="13" spans="1:8" x14ac:dyDescent="0.2">
      <c r="A13" s="4">
        <v>9</v>
      </c>
      <c r="B13" s="4">
        <v>116</v>
      </c>
      <c r="C13" s="4">
        <v>70</v>
      </c>
      <c r="D13" s="4">
        <f t="shared" si="0"/>
        <v>13456</v>
      </c>
      <c r="E13" s="4">
        <f t="shared" si="1"/>
        <v>1560896</v>
      </c>
      <c r="F13" s="4">
        <f t="shared" si="2"/>
        <v>181063936</v>
      </c>
      <c r="G13" s="4">
        <f t="shared" si="3"/>
        <v>8120</v>
      </c>
      <c r="H13" s="4">
        <f t="shared" si="4"/>
        <v>941920</v>
      </c>
    </row>
    <row r="14" spans="1:8" x14ac:dyDescent="0.2">
      <c r="A14" s="4">
        <v>10</v>
      </c>
      <c r="B14" s="4">
        <v>117</v>
      </c>
      <c r="C14" s="4">
        <v>70</v>
      </c>
      <c r="D14" s="4">
        <f t="shared" si="0"/>
        <v>13689</v>
      </c>
      <c r="E14" s="4">
        <f t="shared" si="1"/>
        <v>1601613</v>
      </c>
      <c r="F14" s="4">
        <f t="shared" si="2"/>
        <v>187388721</v>
      </c>
      <c r="G14" s="4">
        <f t="shared" si="3"/>
        <v>8190</v>
      </c>
      <c r="H14" s="4">
        <f t="shared" si="4"/>
        <v>958230</v>
      </c>
    </row>
    <row r="15" spans="1:8" x14ac:dyDescent="0.2">
      <c r="A15" s="4">
        <v>11</v>
      </c>
      <c r="B15" s="4">
        <v>115</v>
      </c>
      <c r="C15" s="4">
        <v>70</v>
      </c>
      <c r="D15" s="4">
        <f t="shared" si="0"/>
        <v>13225</v>
      </c>
      <c r="E15" s="4">
        <f t="shared" si="1"/>
        <v>1520875</v>
      </c>
      <c r="F15" s="4">
        <f t="shared" si="2"/>
        <v>174900625</v>
      </c>
      <c r="G15" s="4">
        <f t="shared" si="3"/>
        <v>8050</v>
      </c>
      <c r="H15" s="4">
        <f t="shared" si="4"/>
        <v>925750</v>
      </c>
    </row>
    <row r="16" spans="1:8" x14ac:dyDescent="0.2">
      <c r="A16" s="4">
        <v>12</v>
      </c>
      <c r="B16" s="4">
        <v>112</v>
      </c>
      <c r="C16" s="4">
        <v>70</v>
      </c>
      <c r="D16" s="4">
        <f t="shared" si="0"/>
        <v>12544</v>
      </c>
      <c r="E16" s="4">
        <f t="shared" si="1"/>
        <v>1404928</v>
      </c>
      <c r="F16" s="4">
        <f t="shared" si="2"/>
        <v>157351936</v>
      </c>
      <c r="G16" s="4">
        <f t="shared" si="3"/>
        <v>7840</v>
      </c>
      <c r="H16" s="4">
        <f t="shared" si="4"/>
        <v>878080</v>
      </c>
    </row>
    <row r="17" spans="1:8" x14ac:dyDescent="0.2">
      <c r="A17" s="4">
        <v>13</v>
      </c>
      <c r="B17" s="4">
        <v>113</v>
      </c>
      <c r="C17" s="4">
        <v>70</v>
      </c>
      <c r="D17" s="4">
        <f t="shared" si="0"/>
        <v>12769</v>
      </c>
      <c r="E17" s="4">
        <f t="shared" si="1"/>
        <v>1442897</v>
      </c>
      <c r="F17" s="4">
        <f t="shared" si="2"/>
        <v>163047361</v>
      </c>
      <c r="G17" s="4">
        <f t="shared" si="3"/>
        <v>7910</v>
      </c>
      <c r="H17" s="4">
        <f t="shared" si="4"/>
        <v>893830</v>
      </c>
    </row>
    <row r="18" spans="1:8" x14ac:dyDescent="0.2">
      <c r="A18" s="4">
        <v>14</v>
      </c>
      <c r="B18" s="4">
        <v>110</v>
      </c>
      <c r="C18" s="4">
        <v>70</v>
      </c>
      <c r="D18" s="4">
        <f t="shared" si="0"/>
        <v>12100</v>
      </c>
      <c r="E18" s="4">
        <f t="shared" si="1"/>
        <v>1331000</v>
      </c>
      <c r="F18" s="4">
        <f t="shared" si="2"/>
        <v>146410000</v>
      </c>
      <c r="G18" s="4">
        <f t="shared" si="3"/>
        <v>7700</v>
      </c>
      <c r="H18" s="4">
        <f t="shared" si="4"/>
        <v>847000</v>
      </c>
    </row>
    <row r="19" spans="1:8" x14ac:dyDescent="0.2">
      <c r="A19" s="4">
        <v>15</v>
      </c>
      <c r="B19" s="4">
        <v>113</v>
      </c>
      <c r="C19" s="4">
        <v>70</v>
      </c>
      <c r="D19" s="4">
        <f t="shared" si="0"/>
        <v>12769</v>
      </c>
      <c r="E19" s="4">
        <f t="shared" si="1"/>
        <v>1442897</v>
      </c>
      <c r="F19" s="4">
        <f t="shared" si="2"/>
        <v>163047361</v>
      </c>
      <c r="G19" s="4">
        <f t="shared" si="3"/>
        <v>7910</v>
      </c>
      <c r="H19" s="4">
        <f t="shared" si="4"/>
        <v>893830</v>
      </c>
    </row>
    <row r="20" spans="1:8" x14ac:dyDescent="0.2">
      <c r="A20" s="4">
        <v>16</v>
      </c>
      <c r="B20" s="4">
        <v>115</v>
      </c>
      <c r="C20" s="4">
        <v>70</v>
      </c>
      <c r="D20" s="4">
        <f t="shared" si="0"/>
        <v>13225</v>
      </c>
      <c r="E20" s="4">
        <f t="shared" si="1"/>
        <v>1520875</v>
      </c>
      <c r="F20" s="4">
        <f t="shared" si="2"/>
        <v>174900625</v>
      </c>
      <c r="G20" s="4">
        <f t="shared" si="3"/>
        <v>8050</v>
      </c>
      <c r="H20" s="4">
        <f t="shared" si="4"/>
        <v>925750</v>
      </c>
    </row>
    <row r="21" spans="1:8" x14ac:dyDescent="0.2">
      <c r="A21" s="4">
        <v>17</v>
      </c>
      <c r="B21" s="4">
        <v>114</v>
      </c>
      <c r="C21" s="4">
        <v>70</v>
      </c>
      <c r="D21" s="4">
        <f t="shared" si="0"/>
        <v>12996</v>
      </c>
      <c r="E21" s="4">
        <f t="shared" si="1"/>
        <v>1481544</v>
      </c>
      <c r="F21" s="4">
        <f t="shared" si="2"/>
        <v>168896016</v>
      </c>
      <c r="G21" s="4">
        <f t="shared" si="3"/>
        <v>7980</v>
      </c>
      <c r="H21" s="4">
        <f t="shared" si="4"/>
        <v>909720</v>
      </c>
    </row>
    <row r="22" spans="1:8" x14ac:dyDescent="0.2">
      <c r="A22" s="4">
        <v>18</v>
      </c>
      <c r="B22" s="4">
        <v>113</v>
      </c>
      <c r="C22" s="4">
        <v>70</v>
      </c>
      <c r="D22" s="4">
        <f t="shared" si="0"/>
        <v>12769</v>
      </c>
      <c r="E22" s="4">
        <f t="shared" si="1"/>
        <v>1442897</v>
      </c>
      <c r="F22" s="4">
        <f t="shared" si="2"/>
        <v>163047361</v>
      </c>
      <c r="G22" s="4">
        <f t="shared" si="3"/>
        <v>7910</v>
      </c>
      <c r="H22" s="4">
        <f t="shared" si="4"/>
        <v>893830</v>
      </c>
    </row>
    <row r="23" spans="1:8" x14ac:dyDescent="0.2">
      <c r="A23" s="4">
        <v>19</v>
      </c>
      <c r="B23" s="4">
        <v>115</v>
      </c>
      <c r="C23" s="4">
        <v>70</v>
      </c>
      <c r="D23" s="4">
        <f t="shared" si="0"/>
        <v>13225</v>
      </c>
      <c r="E23" s="4">
        <f t="shared" si="1"/>
        <v>1520875</v>
      </c>
      <c r="F23" s="4">
        <f t="shared" si="2"/>
        <v>174900625</v>
      </c>
      <c r="G23" s="4">
        <f t="shared" si="3"/>
        <v>8050</v>
      </c>
      <c r="H23" s="4">
        <f t="shared" si="4"/>
        <v>925750</v>
      </c>
    </row>
    <row r="24" spans="1:8" x14ac:dyDescent="0.2">
      <c r="A24" s="4">
        <v>20</v>
      </c>
      <c r="B24" s="4">
        <v>111</v>
      </c>
      <c r="C24" s="4">
        <v>70</v>
      </c>
      <c r="D24" s="4">
        <f t="shared" si="0"/>
        <v>12321</v>
      </c>
      <c r="E24" s="4">
        <f t="shared" si="1"/>
        <v>1367631</v>
      </c>
      <c r="F24" s="4">
        <f t="shared" si="2"/>
        <v>151807041</v>
      </c>
      <c r="G24" s="4">
        <f t="shared" si="3"/>
        <v>7770</v>
      </c>
      <c r="H24" s="4">
        <f t="shared" si="4"/>
        <v>862470</v>
      </c>
    </row>
    <row r="25" spans="1:8" x14ac:dyDescent="0.2">
      <c r="A25" s="4">
        <v>21</v>
      </c>
      <c r="B25" s="4">
        <v>151</v>
      </c>
      <c r="C25" s="4">
        <v>100</v>
      </c>
      <c r="D25" s="4">
        <f t="shared" si="0"/>
        <v>22801</v>
      </c>
      <c r="E25" s="4">
        <f t="shared" si="1"/>
        <v>3442951</v>
      </c>
      <c r="F25" s="4">
        <f t="shared" si="2"/>
        <v>519885601</v>
      </c>
      <c r="G25" s="4">
        <f t="shared" si="3"/>
        <v>15100</v>
      </c>
      <c r="H25" s="4">
        <f t="shared" si="4"/>
        <v>2280100</v>
      </c>
    </row>
    <row r="26" spans="1:8" x14ac:dyDescent="0.2">
      <c r="A26" s="4">
        <v>22</v>
      </c>
      <c r="B26" s="4">
        <v>150</v>
      </c>
      <c r="C26" s="4">
        <v>100</v>
      </c>
      <c r="D26" s="4">
        <f t="shared" si="0"/>
        <v>22500</v>
      </c>
      <c r="E26" s="4">
        <f t="shared" si="1"/>
        <v>3375000</v>
      </c>
      <c r="F26" s="4">
        <f t="shared" si="2"/>
        <v>506250000</v>
      </c>
      <c r="G26" s="4">
        <f t="shared" si="3"/>
        <v>15000</v>
      </c>
      <c r="H26" s="4">
        <f t="shared" si="4"/>
        <v>2250000</v>
      </c>
    </row>
    <row r="27" spans="1:8" x14ac:dyDescent="0.2">
      <c r="A27" s="4">
        <v>23</v>
      </c>
      <c r="B27" s="4">
        <v>151</v>
      </c>
      <c r="C27" s="4">
        <v>100</v>
      </c>
      <c r="D27" s="4">
        <f t="shared" si="0"/>
        <v>22801</v>
      </c>
      <c r="E27" s="4">
        <f t="shared" si="1"/>
        <v>3442951</v>
      </c>
      <c r="F27" s="4">
        <f t="shared" si="2"/>
        <v>519885601</v>
      </c>
      <c r="G27" s="4">
        <f t="shared" si="3"/>
        <v>15100</v>
      </c>
      <c r="H27" s="4">
        <f t="shared" si="4"/>
        <v>2280100</v>
      </c>
    </row>
    <row r="28" spans="1:8" x14ac:dyDescent="0.2">
      <c r="A28" s="4">
        <v>24</v>
      </c>
      <c r="B28" s="4">
        <v>149</v>
      </c>
      <c r="C28" s="4">
        <v>100</v>
      </c>
      <c r="D28" s="4">
        <f t="shared" si="0"/>
        <v>22201</v>
      </c>
      <c r="E28" s="4">
        <f t="shared" si="1"/>
        <v>3307949</v>
      </c>
      <c r="F28" s="4">
        <f t="shared" si="2"/>
        <v>492884401</v>
      </c>
      <c r="G28" s="4">
        <f t="shared" si="3"/>
        <v>14900</v>
      </c>
      <c r="H28" s="4">
        <f t="shared" si="4"/>
        <v>2220100</v>
      </c>
    </row>
    <row r="29" spans="1:8" x14ac:dyDescent="0.2">
      <c r="A29" s="4">
        <v>25</v>
      </c>
      <c r="B29" s="4">
        <v>148</v>
      </c>
      <c r="C29" s="4">
        <v>100</v>
      </c>
      <c r="D29" s="4">
        <f t="shared" si="0"/>
        <v>21904</v>
      </c>
      <c r="E29" s="4">
        <f t="shared" si="1"/>
        <v>3241792</v>
      </c>
      <c r="F29" s="4">
        <f t="shared" si="2"/>
        <v>479785216</v>
      </c>
      <c r="G29" s="4">
        <f t="shared" si="3"/>
        <v>14800</v>
      </c>
      <c r="H29" s="4">
        <f t="shared" si="4"/>
        <v>2190400</v>
      </c>
    </row>
    <row r="30" spans="1:8" x14ac:dyDescent="0.2">
      <c r="A30" s="4">
        <v>26</v>
      </c>
      <c r="B30" s="4">
        <v>146</v>
      </c>
      <c r="C30" s="4">
        <v>100</v>
      </c>
      <c r="D30" s="4">
        <f t="shared" si="0"/>
        <v>21316</v>
      </c>
      <c r="E30" s="4">
        <f t="shared" si="1"/>
        <v>3112136</v>
      </c>
      <c r="F30" s="4">
        <f t="shared" si="2"/>
        <v>454371856</v>
      </c>
      <c r="G30" s="4">
        <f t="shared" si="3"/>
        <v>14600</v>
      </c>
      <c r="H30" s="4">
        <f t="shared" si="4"/>
        <v>2131600</v>
      </c>
    </row>
    <row r="31" spans="1:8" x14ac:dyDescent="0.2">
      <c r="A31" s="4">
        <v>27</v>
      </c>
      <c r="B31" s="4">
        <v>147</v>
      </c>
      <c r="C31" s="4">
        <v>100</v>
      </c>
      <c r="D31" s="4">
        <f t="shared" si="0"/>
        <v>21609</v>
      </c>
      <c r="E31" s="4">
        <f t="shared" si="1"/>
        <v>3176523</v>
      </c>
      <c r="F31" s="4">
        <f t="shared" si="2"/>
        <v>466948881</v>
      </c>
      <c r="G31" s="4">
        <f t="shared" si="3"/>
        <v>14700</v>
      </c>
      <c r="H31" s="4">
        <f t="shared" si="4"/>
        <v>2160900</v>
      </c>
    </row>
    <row r="32" spans="1:8" x14ac:dyDescent="0.2">
      <c r="A32" s="4">
        <v>28</v>
      </c>
      <c r="B32" s="4">
        <v>148</v>
      </c>
      <c r="C32" s="4">
        <v>100</v>
      </c>
      <c r="D32" s="4">
        <f t="shared" si="0"/>
        <v>21904</v>
      </c>
      <c r="E32" s="4">
        <f t="shared" si="1"/>
        <v>3241792</v>
      </c>
      <c r="F32" s="4">
        <f t="shared" si="2"/>
        <v>479785216</v>
      </c>
      <c r="G32" s="4">
        <f t="shared" si="3"/>
        <v>14800</v>
      </c>
      <c r="H32" s="4">
        <f t="shared" si="4"/>
        <v>2190400</v>
      </c>
    </row>
    <row r="33" spans="1:8" x14ac:dyDescent="0.2">
      <c r="A33" s="4">
        <v>29</v>
      </c>
      <c r="B33" s="4">
        <v>146</v>
      </c>
      <c r="C33" s="4">
        <v>100</v>
      </c>
      <c r="D33" s="4">
        <f t="shared" si="0"/>
        <v>21316</v>
      </c>
      <c r="E33" s="4">
        <f t="shared" si="1"/>
        <v>3112136</v>
      </c>
      <c r="F33" s="4">
        <f t="shared" si="2"/>
        <v>454371856</v>
      </c>
      <c r="G33" s="4">
        <f t="shared" si="3"/>
        <v>14600</v>
      </c>
      <c r="H33" s="4">
        <f t="shared" si="4"/>
        <v>2131600</v>
      </c>
    </row>
    <row r="34" spans="1:8" x14ac:dyDescent="0.2">
      <c r="A34" s="4">
        <v>30</v>
      </c>
      <c r="B34" s="4">
        <v>147</v>
      </c>
      <c r="C34" s="4">
        <v>100</v>
      </c>
      <c r="D34" s="4">
        <f t="shared" si="0"/>
        <v>21609</v>
      </c>
      <c r="E34" s="4">
        <f t="shared" si="1"/>
        <v>3176523</v>
      </c>
      <c r="F34" s="4">
        <f t="shared" si="2"/>
        <v>466948881</v>
      </c>
      <c r="G34" s="4">
        <f t="shared" si="3"/>
        <v>14700</v>
      </c>
      <c r="H34" s="4">
        <f t="shared" si="4"/>
        <v>2160900</v>
      </c>
    </row>
    <row r="35" spans="1:8" x14ac:dyDescent="0.2">
      <c r="A35" s="4">
        <v>31</v>
      </c>
      <c r="B35" s="4">
        <v>149</v>
      </c>
      <c r="C35" s="4">
        <v>100</v>
      </c>
      <c r="D35" s="4">
        <f t="shared" si="0"/>
        <v>22201</v>
      </c>
      <c r="E35" s="4">
        <f t="shared" si="1"/>
        <v>3307949</v>
      </c>
      <c r="F35" s="4">
        <f t="shared" si="2"/>
        <v>492884401</v>
      </c>
      <c r="G35" s="4">
        <f t="shared" si="3"/>
        <v>14900</v>
      </c>
      <c r="H35" s="4">
        <f t="shared" si="4"/>
        <v>2220100</v>
      </c>
    </row>
    <row r="36" spans="1:8" x14ac:dyDescent="0.2">
      <c r="A36" s="4">
        <v>32</v>
      </c>
      <c r="B36" s="4">
        <v>148</v>
      </c>
      <c r="C36" s="4">
        <v>100</v>
      </c>
      <c r="D36" s="4">
        <f t="shared" si="0"/>
        <v>21904</v>
      </c>
      <c r="E36" s="4">
        <f t="shared" si="1"/>
        <v>3241792</v>
      </c>
      <c r="F36" s="4">
        <f t="shared" si="2"/>
        <v>479785216</v>
      </c>
      <c r="G36" s="4">
        <f t="shared" si="3"/>
        <v>14800</v>
      </c>
      <c r="H36" s="4">
        <f t="shared" si="4"/>
        <v>2190400</v>
      </c>
    </row>
    <row r="37" spans="1:8" x14ac:dyDescent="0.2">
      <c r="A37" s="4">
        <v>33</v>
      </c>
      <c r="B37" s="4">
        <v>147</v>
      </c>
      <c r="C37" s="4">
        <v>100</v>
      </c>
      <c r="D37" s="4">
        <f t="shared" ref="D37:D68" si="5">B37^2</f>
        <v>21609</v>
      </c>
      <c r="E37" s="4">
        <f t="shared" ref="E37:E68" si="6">B37^3</f>
        <v>3176523</v>
      </c>
      <c r="F37" s="4">
        <f t="shared" ref="F37:F68" si="7">B37^4</f>
        <v>466948881</v>
      </c>
      <c r="G37" s="4">
        <f t="shared" ref="G37:G68" si="8">B37*C37</f>
        <v>14700</v>
      </c>
      <c r="H37" s="4">
        <f t="shared" ref="H37:H68" si="9">D37*C37</f>
        <v>2160900</v>
      </c>
    </row>
    <row r="38" spans="1:8" x14ac:dyDescent="0.2">
      <c r="A38" s="4">
        <v>34</v>
      </c>
      <c r="B38" s="4">
        <v>149</v>
      </c>
      <c r="C38" s="4">
        <v>100</v>
      </c>
      <c r="D38" s="4">
        <f t="shared" si="5"/>
        <v>22201</v>
      </c>
      <c r="E38" s="4">
        <f t="shared" si="6"/>
        <v>3307949</v>
      </c>
      <c r="F38" s="4">
        <f t="shared" si="7"/>
        <v>492884401</v>
      </c>
      <c r="G38" s="4">
        <f t="shared" si="8"/>
        <v>14900</v>
      </c>
      <c r="H38" s="4">
        <f t="shared" si="9"/>
        <v>2220100</v>
      </c>
    </row>
    <row r="39" spans="1:8" x14ac:dyDescent="0.2">
      <c r="A39" s="4">
        <v>35</v>
      </c>
      <c r="B39" s="4">
        <v>151</v>
      </c>
      <c r="C39" s="4">
        <v>100</v>
      </c>
      <c r="D39" s="4">
        <f t="shared" si="5"/>
        <v>22801</v>
      </c>
      <c r="E39" s="4">
        <f t="shared" si="6"/>
        <v>3442951</v>
      </c>
      <c r="F39" s="4">
        <f t="shared" si="7"/>
        <v>519885601</v>
      </c>
      <c r="G39" s="4">
        <f t="shared" si="8"/>
        <v>15100</v>
      </c>
      <c r="H39" s="4">
        <f t="shared" si="9"/>
        <v>2280100</v>
      </c>
    </row>
    <row r="40" spans="1:8" x14ac:dyDescent="0.2">
      <c r="A40" s="4">
        <v>36</v>
      </c>
      <c r="B40" s="4">
        <v>152</v>
      </c>
      <c r="C40" s="4">
        <v>100</v>
      </c>
      <c r="D40" s="4">
        <f t="shared" si="5"/>
        <v>23104</v>
      </c>
      <c r="E40" s="4">
        <f t="shared" si="6"/>
        <v>3511808</v>
      </c>
      <c r="F40" s="4">
        <f t="shared" si="7"/>
        <v>533794816</v>
      </c>
      <c r="G40" s="4">
        <f t="shared" si="8"/>
        <v>15200</v>
      </c>
      <c r="H40" s="4">
        <f t="shared" si="9"/>
        <v>2310400</v>
      </c>
    </row>
    <row r="41" spans="1:8" x14ac:dyDescent="0.2">
      <c r="A41" s="4">
        <v>37</v>
      </c>
      <c r="B41" s="4">
        <v>150</v>
      </c>
      <c r="C41" s="4">
        <v>100</v>
      </c>
      <c r="D41" s="4">
        <f t="shared" si="5"/>
        <v>22500</v>
      </c>
      <c r="E41" s="4">
        <f t="shared" si="6"/>
        <v>3375000</v>
      </c>
      <c r="F41" s="4">
        <f t="shared" si="7"/>
        <v>506250000</v>
      </c>
      <c r="G41" s="4">
        <f t="shared" si="8"/>
        <v>15000</v>
      </c>
      <c r="H41" s="4">
        <f t="shared" si="9"/>
        <v>2250000</v>
      </c>
    </row>
    <row r="42" spans="1:8" x14ac:dyDescent="0.2">
      <c r="A42" s="4">
        <v>38</v>
      </c>
      <c r="B42" s="4">
        <v>151</v>
      </c>
      <c r="C42" s="4">
        <v>100</v>
      </c>
      <c r="D42" s="4">
        <f t="shared" si="5"/>
        <v>22801</v>
      </c>
      <c r="E42" s="4">
        <f t="shared" si="6"/>
        <v>3442951</v>
      </c>
      <c r="F42" s="4">
        <f t="shared" si="7"/>
        <v>519885601</v>
      </c>
      <c r="G42" s="4">
        <f t="shared" si="8"/>
        <v>15100</v>
      </c>
      <c r="H42" s="4">
        <f t="shared" si="9"/>
        <v>2280100</v>
      </c>
    </row>
    <row r="43" spans="1:8" x14ac:dyDescent="0.2">
      <c r="A43" s="4">
        <v>39</v>
      </c>
      <c r="B43" s="4">
        <v>152</v>
      </c>
      <c r="C43" s="4">
        <v>100</v>
      </c>
      <c r="D43" s="4">
        <f t="shared" si="5"/>
        <v>23104</v>
      </c>
      <c r="E43" s="4">
        <f t="shared" si="6"/>
        <v>3511808</v>
      </c>
      <c r="F43" s="4">
        <f t="shared" si="7"/>
        <v>533794816</v>
      </c>
      <c r="G43" s="4">
        <f t="shared" si="8"/>
        <v>15200</v>
      </c>
      <c r="H43" s="4">
        <f t="shared" si="9"/>
        <v>2310400</v>
      </c>
    </row>
    <row r="44" spans="1:8" x14ac:dyDescent="0.2">
      <c r="A44" s="4">
        <v>40</v>
      </c>
      <c r="B44" s="4">
        <v>150</v>
      </c>
      <c r="C44" s="4">
        <v>100</v>
      </c>
      <c r="D44" s="4">
        <f t="shared" si="5"/>
        <v>22500</v>
      </c>
      <c r="E44" s="4">
        <f t="shared" si="6"/>
        <v>3375000</v>
      </c>
      <c r="F44" s="4">
        <f t="shared" si="7"/>
        <v>506250000</v>
      </c>
      <c r="G44" s="4">
        <f t="shared" si="8"/>
        <v>15000</v>
      </c>
      <c r="H44" s="4">
        <f t="shared" si="9"/>
        <v>2250000</v>
      </c>
    </row>
    <row r="45" spans="1:8" x14ac:dyDescent="0.2">
      <c r="A45" s="4">
        <v>41</v>
      </c>
      <c r="B45" s="4">
        <v>256</v>
      </c>
      <c r="C45" s="4">
        <v>200</v>
      </c>
      <c r="D45" s="4">
        <f t="shared" si="5"/>
        <v>65536</v>
      </c>
      <c r="E45" s="4">
        <f t="shared" si="6"/>
        <v>16777216</v>
      </c>
      <c r="F45" s="4">
        <f t="shared" si="7"/>
        <v>4294967296</v>
      </c>
      <c r="G45" s="4">
        <f t="shared" si="8"/>
        <v>51200</v>
      </c>
      <c r="H45" s="4">
        <f t="shared" si="9"/>
        <v>13107200</v>
      </c>
    </row>
    <row r="46" spans="1:8" x14ac:dyDescent="0.2">
      <c r="A46" s="4">
        <v>42</v>
      </c>
      <c r="B46" s="4">
        <v>255</v>
      </c>
      <c r="C46" s="4">
        <v>200</v>
      </c>
      <c r="D46" s="4">
        <f t="shared" si="5"/>
        <v>65025</v>
      </c>
      <c r="E46" s="4">
        <f t="shared" si="6"/>
        <v>16581375</v>
      </c>
      <c r="F46" s="4">
        <f t="shared" si="7"/>
        <v>4228250625</v>
      </c>
      <c r="G46" s="4">
        <f t="shared" si="8"/>
        <v>51000</v>
      </c>
      <c r="H46" s="4">
        <f t="shared" si="9"/>
        <v>13005000</v>
      </c>
    </row>
    <row r="47" spans="1:8" x14ac:dyDescent="0.2">
      <c r="A47" s="4">
        <v>43</v>
      </c>
      <c r="B47" s="4">
        <v>255</v>
      </c>
      <c r="C47" s="4">
        <v>200</v>
      </c>
      <c r="D47" s="4">
        <f t="shared" si="5"/>
        <v>65025</v>
      </c>
      <c r="E47" s="4">
        <f t="shared" si="6"/>
        <v>16581375</v>
      </c>
      <c r="F47" s="4">
        <f t="shared" si="7"/>
        <v>4228250625</v>
      </c>
      <c r="G47" s="4">
        <f t="shared" si="8"/>
        <v>51000</v>
      </c>
      <c r="H47" s="4">
        <f t="shared" si="9"/>
        <v>13005000</v>
      </c>
    </row>
    <row r="48" spans="1:8" x14ac:dyDescent="0.2">
      <c r="A48" s="4">
        <v>44</v>
      </c>
      <c r="B48" s="4">
        <v>254</v>
      </c>
      <c r="C48" s="4">
        <v>200</v>
      </c>
      <c r="D48" s="4">
        <f t="shared" si="5"/>
        <v>64516</v>
      </c>
      <c r="E48" s="4">
        <f t="shared" si="6"/>
        <v>16387064</v>
      </c>
      <c r="F48" s="4">
        <f t="shared" si="7"/>
        <v>4162314256</v>
      </c>
      <c r="G48" s="4">
        <f t="shared" si="8"/>
        <v>50800</v>
      </c>
      <c r="H48" s="4">
        <f t="shared" si="9"/>
        <v>12903200</v>
      </c>
    </row>
    <row r="49" spans="1:8" x14ac:dyDescent="0.2">
      <c r="A49" s="4">
        <v>45</v>
      </c>
      <c r="B49" s="4">
        <v>251</v>
      </c>
      <c r="C49" s="4">
        <v>200</v>
      </c>
      <c r="D49" s="4">
        <f t="shared" si="5"/>
        <v>63001</v>
      </c>
      <c r="E49" s="4">
        <f t="shared" si="6"/>
        <v>15813251</v>
      </c>
      <c r="F49" s="4">
        <f t="shared" si="7"/>
        <v>3969126001</v>
      </c>
      <c r="G49" s="4">
        <f t="shared" si="8"/>
        <v>50200</v>
      </c>
      <c r="H49" s="4">
        <f t="shared" si="9"/>
        <v>12600200</v>
      </c>
    </row>
    <row r="50" spans="1:8" x14ac:dyDescent="0.2">
      <c r="A50" s="4">
        <v>46</v>
      </c>
      <c r="B50" s="4">
        <v>252</v>
      </c>
      <c r="C50" s="4">
        <v>200</v>
      </c>
      <c r="D50" s="4">
        <f t="shared" si="5"/>
        <v>63504</v>
      </c>
      <c r="E50" s="4">
        <f t="shared" si="6"/>
        <v>16003008</v>
      </c>
      <c r="F50" s="4">
        <f t="shared" si="7"/>
        <v>4032758016</v>
      </c>
      <c r="G50" s="4">
        <f t="shared" si="8"/>
        <v>50400</v>
      </c>
      <c r="H50" s="4">
        <f t="shared" si="9"/>
        <v>12700800</v>
      </c>
    </row>
    <row r="51" spans="1:8" x14ac:dyDescent="0.2">
      <c r="A51" s="4">
        <v>47</v>
      </c>
      <c r="B51" s="4">
        <v>253</v>
      </c>
      <c r="C51" s="4">
        <v>200</v>
      </c>
      <c r="D51" s="4">
        <f t="shared" si="5"/>
        <v>64009</v>
      </c>
      <c r="E51" s="4">
        <f t="shared" si="6"/>
        <v>16194277</v>
      </c>
      <c r="F51" s="4">
        <f t="shared" si="7"/>
        <v>4097152081</v>
      </c>
      <c r="G51" s="4">
        <f t="shared" si="8"/>
        <v>50600</v>
      </c>
      <c r="H51" s="4">
        <f t="shared" si="9"/>
        <v>12801800</v>
      </c>
    </row>
    <row r="52" spans="1:8" x14ac:dyDescent="0.2">
      <c r="A52" s="4">
        <v>48</v>
      </c>
      <c r="B52" s="4">
        <v>252</v>
      </c>
      <c r="C52" s="4">
        <v>200</v>
      </c>
      <c r="D52" s="4">
        <f t="shared" si="5"/>
        <v>63504</v>
      </c>
      <c r="E52" s="4">
        <f t="shared" si="6"/>
        <v>16003008</v>
      </c>
      <c r="F52" s="4">
        <f t="shared" si="7"/>
        <v>4032758016</v>
      </c>
      <c r="G52" s="4">
        <f t="shared" si="8"/>
        <v>50400</v>
      </c>
      <c r="H52" s="4">
        <f t="shared" si="9"/>
        <v>12700800</v>
      </c>
    </row>
    <row r="53" spans="1:8" x14ac:dyDescent="0.2">
      <c r="A53" s="4">
        <v>49</v>
      </c>
      <c r="B53" s="4">
        <v>251</v>
      </c>
      <c r="C53" s="4">
        <v>200</v>
      </c>
      <c r="D53" s="4">
        <f t="shared" si="5"/>
        <v>63001</v>
      </c>
      <c r="E53" s="4">
        <f t="shared" si="6"/>
        <v>15813251</v>
      </c>
      <c r="F53" s="4">
        <f t="shared" si="7"/>
        <v>3969126001</v>
      </c>
      <c r="G53" s="4">
        <f t="shared" si="8"/>
        <v>50200</v>
      </c>
      <c r="H53" s="4">
        <f t="shared" si="9"/>
        <v>12600200</v>
      </c>
    </row>
    <row r="54" spans="1:8" x14ac:dyDescent="0.2">
      <c r="A54" s="4">
        <v>50</v>
      </c>
      <c r="B54" s="4">
        <v>250</v>
      </c>
      <c r="C54" s="4">
        <v>200</v>
      </c>
      <c r="D54" s="4">
        <f t="shared" si="5"/>
        <v>62500</v>
      </c>
      <c r="E54" s="4">
        <f t="shared" si="6"/>
        <v>15625000</v>
      </c>
      <c r="F54" s="4">
        <f t="shared" si="7"/>
        <v>3906250000</v>
      </c>
      <c r="G54" s="4">
        <f t="shared" si="8"/>
        <v>50000</v>
      </c>
      <c r="H54" s="4">
        <f t="shared" si="9"/>
        <v>12500000</v>
      </c>
    </row>
    <row r="55" spans="1:8" x14ac:dyDescent="0.2">
      <c r="A55" s="4">
        <v>51</v>
      </c>
      <c r="B55" s="4">
        <v>250</v>
      </c>
      <c r="C55" s="4">
        <v>200</v>
      </c>
      <c r="D55" s="4">
        <f t="shared" si="5"/>
        <v>62500</v>
      </c>
      <c r="E55" s="4">
        <f t="shared" si="6"/>
        <v>15625000</v>
      </c>
      <c r="F55" s="4">
        <f t="shared" si="7"/>
        <v>3906250000</v>
      </c>
      <c r="G55" s="4">
        <f t="shared" si="8"/>
        <v>50000</v>
      </c>
      <c r="H55" s="4">
        <f t="shared" si="9"/>
        <v>12500000</v>
      </c>
    </row>
    <row r="56" spans="1:8" x14ac:dyDescent="0.2">
      <c r="A56" s="4">
        <v>52</v>
      </c>
      <c r="B56" s="4">
        <v>251</v>
      </c>
      <c r="C56" s="4">
        <v>200</v>
      </c>
      <c r="D56" s="4">
        <f t="shared" si="5"/>
        <v>63001</v>
      </c>
      <c r="E56" s="4">
        <f t="shared" si="6"/>
        <v>15813251</v>
      </c>
      <c r="F56" s="4">
        <f t="shared" si="7"/>
        <v>3969126001</v>
      </c>
      <c r="G56" s="4">
        <f t="shared" si="8"/>
        <v>50200</v>
      </c>
      <c r="H56" s="4">
        <f t="shared" si="9"/>
        <v>12600200</v>
      </c>
    </row>
    <row r="57" spans="1:8" x14ac:dyDescent="0.2">
      <c r="A57" s="4">
        <v>53</v>
      </c>
      <c r="B57" s="4">
        <v>250</v>
      </c>
      <c r="C57" s="4">
        <v>200</v>
      </c>
      <c r="D57" s="4">
        <f t="shared" si="5"/>
        <v>62500</v>
      </c>
      <c r="E57" s="4">
        <f t="shared" si="6"/>
        <v>15625000</v>
      </c>
      <c r="F57" s="4">
        <f t="shared" si="7"/>
        <v>3906250000</v>
      </c>
      <c r="G57" s="4">
        <f t="shared" si="8"/>
        <v>50000</v>
      </c>
      <c r="H57" s="4">
        <f t="shared" si="9"/>
        <v>12500000</v>
      </c>
    </row>
    <row r="58" spans="1:8" x14ac:dyDescent="0.2">
      <c r="A58" s="4">
        <v>54</v>
      </c>
      <c r="B58" s="4">
        <v>251</v>
      </c>
      <c r="C58" s="4">
        <v>200</v>
      </c>
      <c r="D58" s="4">
        <f t="shared" si="5"/>
        <v>63001</v>
      </c>
      <c r="E58" s="4">
        <f t="shared" si="6"/>
        <v>15813251</v>
      </c>
      <c r="F58" s="4">
        <f t="shared" si="7"/>
        <v>3969126001</v>
      </c>
      <c r="G58" s="4">
        <f t="shared" si="8"/>
        <v>50200</v>
      </c>
      <c r="H58" s="4">
        <f t="shared" si="9"/>
        <v>12600200</v>
      </c>
    </row>
    <row r="59" spans="1:8" x14ac:dyDescent="0.2">
      <c r="A59" s="4">
        <v>55</v>
      </c>
      <c r="B59" s="4">
        <v>260</v>
      </c>
      <c r="C59" s="4">
        <v>200</v>
      </c>
      <c r="D59" s="4">
        <f t="shared" si="5"/>
        <v>67600</v>
      </c>
      <c r="E59" s="4">
        <f t="shared" si="6"/>
        <v>17576000</v>
      </c>
      <c r="F59" s="4">
        <f t="shared" si="7"/>
        <v>4569760000</v>
      </c>
      <c r="G59" s="4">
        <f t="shared" si="8"/>
        <v>52000</v>
      </c>
      <c r="H59" s="4">
        <f t="shared" si="9"/>
        <v>13520000</v>
      </c>
    </row>
    <row r="60" spans="1:8" x14ac:dyDescent="0.2">
      <c r="A60" s="4">
        <v>56</v>
      </c>
      <c r="B60" s="4">
        <v>259</v>
      </c>
      <c r="C60" s="4">
        <v>200</v>
      </c>
      <c r="D60" s="4">
        <f t="shared" si="5"/>
        <v>67081</v>
      </c>
      <c r="E60" s="4">
        <f t="shared" si="6"/>
        <v>17373979</v>
      </c>
      <c r="F60" s="4">
        <f t="shared" si="7"/>
        <v>4499860561</v>
      </c>
      <c r="G60" s="4">
        <f t="shared" si="8"/>
        <v>51800</v>
      </c>
      <c r="H60" s="4">
        <f t="shared" si="9"/>
        <v>13416200</v>
      </c>
    </row>
    <row r="61" spans="1:8" x14ac:dyDescent="0.2">
      <c r="A61" s="4">
        <v>57</v>
      </c>
      <c r="B61" s="4">
        <v>257</v>
      </c>
      <c r="C61" s="4">
        <v>200</v>
      </c>
      <c r="D61" s="4">
        <f t="shared" si="5"/>
        <v>66049</v>
      </c>
      <c r="E61" s="4">
        <f t="shared" si="6"/>
        <v>16974593</v>
      </c>
      <c r="F61" s="4">
        <f t="shared" si="7"/>
        <v>4362470401</v>
      </c>
      <c r="G61" s="4">
        <f t="shared" si="8"/>
        <v>51400</v>
      </c>
      <c r="H61" s="4">
        <f t="shared" si="9"/>
        <v>13209800</v>
      </c>
    </row>
    <row r="62" spans="1:8" x14ac:dyDescent="0.2">
      <c r="A62" s="4">
        <v>58</v>
      </c>
      <c r="B62" s="4">
        <v>262</v>
      </c>
      <c r="C62" s="4">
        <v>200</v>
      </c>
      <c r="D62" s="4">
        <f t="shared" si="5"/>
        <v>68644</v>
      </c>
      <c r="E62" s="4">
        <f t="shared" si="6"/>
        <v>17984728</v>
      </c>
      <c r="F62" s="4">
        <f t="shared" si="7"/>
        <v>4711998736</v>
      </c>
      <c r="G62" s="4">
        <f t="shared" si="8"/>
        <v>52400</v>
      </c>
      <c r="H62" s="4">
        <f t="shared" si="9"/>
        <v>13728800</v>
      </c>
    </row>
    <row r="63" spans="1:8" x14ac:dyDescent="0.2">
      <c r="A63" s="4">
        <v>59</v>
      </c>
      <c r="B63" s="4">
        <v>261</v>
      </c>
      <c r="C63" s="4">
        <v>200</v>
      </c>
      <c r="D63" s="4">
        <f t="shared" si="5"/>
        <v>68121</v>
      </c>
      <c r="E63" s="4">
        <f t="shared" si="6"/>
        <v>17779581</v>
      </c>
      <c r="F63" s="4">
        <f t="shared" si="7"/>
        <v>4640470641</v>
      </c>
      <c r="G63" s="4">
        <f t="shared" si="8"/>
        <v>52200</v>
      </c>
      <c r="H63" s="4">
        <f t="shared" si="9"/>
        <v>13624200</v>
      </c>
    </row>
    <row r="64" spans="1:8" x14ac:dyDescent="0.2">
      <c r="A64" s="4">
        <v>60</v>
      </c>
      <c r="B64" s="4">
        <v>260</v>
      </c>
      <c r="C64" s="4">
        <v>200</v>
      </c>
      <c r="D64" s="4">
        <f t="shared" si="5"/>
        <v>67600</v>
      </c>
      <c r="E64" s="4">
        <f t="shared" si="6"/>
        <v>17576000</v>
      </c>
      <c r="F64" s="4">
        <f t="shared" si="7"/>
        <v>4569760000</v>
      </c>
      <c r="G64" s="4">
        <f t="shared" si="8"/>
        <v>52000</v>
      </c>
      <c r="H64" s="4">
        <f t="shared" si="9"/>
        <v>13520000</v>
      </c>
    </row>
    <row r="65" spans="1:8" x14ac:dyDescent="0.2">
      <c r="A65" s="4">
        <v>61</v>
      </c>
      <c r="B65" s="4">
        <v>355</v>
      </c>
      <c r="C65" s="4">
        <v>300</v>
      </c>
      <c r="D65" s="4">
        <f t="shared" si="5"/>
        <v>126025</v>
      </c>
      <c r="E65" s="4">
        <f t="shared" si="6"/>
        <v>44738875</v>
      </c>
      <c r="F65" s="4">
        <f t="shared" si="7"/>
        <v>15882300625</v>
      </c>
      <c r="G65" s="4">
        <f t="shared" si="8"/>
        <v>106500</v>
      </c>
      <c r="H65" s="4">
        <f t="shared" si="9"/>
        <v>37807500</v>
      </c>
    </row>
    <row r="66" spans="1:8" x14ac:dyDescent="0.2">
      <c r="A66" s="4">
        <v>62</v>
      </c>
      <c r="B66" s="4">
        <v>356</v>
      </c>
      <c r="C66" s="4">
        <v>300</v>
      </c>
      <c r="D66" s="4">
        <f t="shared" si="5"/>
        <v>126736</v>
      </c>
      <c r="E66" s="4">
        <f t="shared" si="6"/>
        <v>45118016</v>
      </c>
      <c r="F66" s="4">
        <f t="shared" si="7"/>
        <v>16062013696</v>
      </c>
      <c r="G66" s="4">
        <f t="shared" si="8"/>
        <v>106800</v>
      </c>
      <c r="H66" s="4">
        <f t="shared" si="9"/>
        <v>38020800</v>
      </c>
    </row>
    <row r="67" spans="1:8" x14ac:dyDescent="0.2">
      <c r="A67" s="4">
        <v>63</v>
      </c>
      <c r="B67" s="4">
        <v>354</v>
      </c>
      <c r="C67" s="4">
        <v>300</v>
      </c>
      <c r="D67" s="4">
        <f t="shared" si="5"/>
        <v>125316</v>
      </c>
      <c r="E67" s="4">
        <f t="shared" si="6"/>
        <v>44361864</v>
      </c>
      <c r="F67" s="4">
        <f t="shared" si="7"/>
        <v>15704099856</v>
      </c>
      <c r="G67" s="4">
        <f t="shared" si="8"/>
        <v>106200</v>
      </c>
      <c r="H67" s="4">
        <f t="shared" si="9"/>
        <v>37594800</v>
      </c>
    </row>
    <row r="68" spans="1:8" x14ac:dyDescent="0.2">
      <c r="A68" s="4">
        <v>64</v>
      </c>
      <c r="B68" s="4">
        <v>356</v>
      </c>
      <c r="C68" s="4">
        <v>300</v>
      </c>
      <c r="D68" s="4">
        <f t="shared" si="5"/>
        <v>126736</v>
      </c>
      <c r="E68" s="4">
        <f t="shared" si="6"/>
        <v>45118016</v>
      </c>
      <c r="F68" s="4">
        <f t="shared" si="7"/>
        <v>16062013696</v>
      </c>
      <c r="G68" s="4">
        <f t="shared" si="8"/>
        <v>106800</v>
      </c>
      <c r="H68" s="4">
        <f t="shared" si="9"/>
        <v>38020800</v>
      </c>
    </row>
    <row r="69" spans="1:8" x14ac:dyDescent="0.2">
      <c r="A69" s="4">
        <v>65</v>
      </c>
      <c r="B69" s="4">
        <v>357</v>
      </c>
      <c r="C69" s="4">
        <v>300</v>
      </c>
      <c r="D69" s="4">
        <f t="shared" ref="D69:D84" si="10">B69^2</f>
        <v>127449</v>
      </c>
      <c r="E69" s="4">
        <f t="shared" ref="E69:E84" si="11">B69^3</f>
        <v>45499293</v>
      </c>
      <c r="F69" s="4">
        <f t="shared" ref="F69:F84" si="12">B69^4</f>
        <v>16243247601</v>
      </c>
      <c r="G69" s="4">
        <f t="shared" ref="G69:G84" si="13">B69*C69</f>
        <v>107100</v>
      </c>
      <c r="H69" s="4">
        <f t="shared" ref="H69:H84" si="14">D69*C69</f>
        <v>38234700</v>
      </c>
    </row>
    <row r="70" spans="1:8" x14ac:dyDescent="0.2">
      <c r="A70" s="4">
        <v>66</v>
      </c>
      <c r="B70" s="4">
        <v>355</v>
      </c>
      <c r="C70" s="4">
        <v>300</v>
      </c>
      <c r="D70" s="4">
        <f t="shared" si="10"/>
        <v>126025</v>
      </c>
      <c r="E70" s="4">
        <f t="shared" si="11"/>
        <v>44738875</v>
      </c>
      <c r="F70" s="4">
        <f t="shared" si="12"/>
        <v>15882300625</v>
      </c>
      <c r="G70" s="4">
        <f t="shared" si="13"/>
        <v>106500</v>
      </c>
      <c r="H70" s="4">
        <f t="shared" si="14"/>
        <v>37807500</v>
      </c>
    </row>
    <row r="71" spans="1:8" x14ac:dyDescent="0.2">
      <c r="A71" s="4">
        <v>67</v>
      </c>
      <c r="B71" s="4">
        <v>354</v>
      </c>
      <c r="C71" s="4">
        <v>300</v>
      </c>
      <c r="D71" s="4">
        <f t="shared" si="10"/>
        <v>125316</v>
      </c>
      <c r="E71" s="4">
        <f t="shared" si="11"/>
        <v>44361864</v>
      </c>
      <c r="F71" s="4">
        <f t="shared" si="12"/>
        <v>15704099856</v>
      </c>
      <c r="G71" s="4">
        <f t="shared" si="13"/>
        <v>106200</v>
      </c>
      <c r="H71" s="4">
        <f t="shared" si="14"/>
        <v>37594800</v>
      </c>
    </row>
    <row r="72" spans="1:8" x14ac:dyDescent="0.2">
      <c r="A72" s="4">
        <v>68</v>
      </c>
      <c r="B72" s="4">
        <v>353</v>
      </c>
      <c r="C72" s="4">
        <v>300</v>
      </c>
      <c r="D72" s="4">
        <f t="shared" si="10"/>
        <v>124609</v>
      </c>
      <c r="E72" s="4">
        <f t="shared" si="11"/>
        <v>43986977</v>
      </c>
      <c r="F72" s="4">
        <f t="shared" si="12"/>
        <v>15527402881</v>
      </c>
      <c r="G72" s="4">
        <f t="shared" si="13"/>
        <v>105900</v>
      </c>
      <c r="H72" s="4">
        <f t="shared" si="14"/>
        <v>37382700</v>
      </c>
    </row>
    <row r="73" spans="1:8" x14ac:dyDescent="0.2">
      <c r="A73" s="4">
        <v>69</v>
      </c>
      <c r="B73" s="4">
        <v>355</v>
      </c>
      <c r="C73" s="4">
        <v>300</v>
      </c>
      <c r="D73" s="4">
        <f t="shared" si="10"/>
        <v>126025</v>
      </c>
      <c r="E73" s="4">
        <f t="shared" si="11"/>
        <v>44738875</v>
      </c>
      <c r="F73" s="4">
        <f t="shared" si="12"/>
        <v>15882300625</v>
      </c>
      <c r="G73" s="4">
        <f t="shared" si="13"/>
        <v>106500</v>
      </c>
      <c r="H73" s="4">
        <f t="shared" si="14"/>
        <v>37807500</v>
      </c>
    </row>
    <row r="74" spans="1:8" x14ac:dyDescent="0.2">
      <c r="A74" s="4">
        <v>70</v>
      </c>
      <c r="B74" s="4">
        <v>352</v>
      </c>
      <c r="C74" s="4">
        <v>300</v>
      </c>
      <c r="D74" s="4">
        <f t="shared" si="10"/>
        <v>123904</v>
      </c>
      <c r="E74" s="4">
        <f t="shared" si="11"/>
        <v>43614208</v>
      </c>
      <c r="F74" s="4">
        <f t="shared" si="12"/>
        <v>15352201216</v>
      </c>
      <c r="G74" s="4">
        <f t="shared" si="13"/>
        <v>105600</v>
      </c>
      <c r="H74" s="4">
        <f t="shared" si="14"/>
        <v>37171200</v>
      </c>
    </row>
    <row r="75" spans="1:8" x14ac:dyDescent="0.2">
      <c r="A75" s="4">
        <v>71</v>
      </c>
      <c r="B75" s="4">
        <v>351</v>
      </c>
      <c r="C75" s="4">
        <v>300</v>
      </c>
      <c r="D75" s="4">
        <f t="shared" si="10"/>
        <v>123201</v>
      </c>
      <c r="E75" s="4">
        <f t="shared" si="11"/>
        <v>43243551</v>
      </c>
      <c r="F75" s="4">
        <f t="shared" si="12"/>
        <v>15178486401</v>
      </c>
      <c r="G75" s="4">
        <f t="shared" si="13"/>
        <v>105300</v>
      </c>
      <c r="H75" s="4">
        <f t="shared" si="14"/>
        <v>36960300</v>
      </c>
    </row>
    <row r="76" spans="1:8" x14ac:dyDescent="0.2">
      <c r="A76" s="4">
        <v>72</v>
      </c>
      <c r="B76" s="4">
        <v>354</v>
      </c>
      <c r="C76" s="4">
        <v>300</v>
      </c>
      <c r="D76" s="4">
        <f t="shared" si="10"/>
        <v>125316</v>
      </c>
      <c r="E76" s="4">
        <f t="shared" si="11"/>
        <v>44361864</v>
      </c>
      <c r="F76" s="4">
        <f t="shared" si="12"/>
        <v>15704099856</v>
      </c>
      <c r="G76" s="4">
        <f t="shared" si="13"/>
        <v>106200</v>
      </c>
      <c r="H76" s="4">
        <f t="shared" si="14"/>
        <v>37594800</v>
      </c>
    </row>
    <row r="77" spans="1:8" x14ac:dyDescent="0.2">
      <c r="A77" s="4">
        <v>73</v>
      </c>
      <c r="B77" s="4">
        <v>352</v>
      </c>
      <c r="C77" s="4">
        <v>300</v>
      </c>
      <c r="D77" s="4">
        <f t="shared" si="10"/>
        <v>123904</v>
      </c>
      <c r="E77" s="4">
        <f t="shared" si="11"/>
        <v>43614208</v>
      </c>
      <c r="F77" s="4">
        <f t="shared" si="12"/>
        <v>15352201216</v>
      </c>
      <c r="G77" s="4">
        <f t="shared" si="13"/>
        <v>105600</v>
      </c>
      <c r="H77" s="4">
        <f t="shared" si="14"/>
        <v>37171200</v>
      </c>
    </row>
    <row r="78" spans="1:8" x14ac:dyDescent="0.2">
      <c r="A78" s="4">
        <v>74</v>
      </c>
      <c r="B78" s="4">
        <v>351</v>
      </c>
      <c r="C78" s="4">
        <v>300</v>
      </c>
      <c r="D78" s="4">
        <f t="shared" si="10"/>
        <v>123201</v>
      </c>
      <c r="E78" s="4">
        <f t="shared" si="11"/>
        <v>43243551</v>
      </c>
      <c r="F78" s="4">
        <f t="shared" si="12"/>
        <v>15178486401</v>
      </c>
      <c r="G78" s="4">
        <f t="shared" si="13"/>
        <v>105300</v>
      </c>
      <c r="H78" s="4">
        <f t="shared" si="14"/>
        <v>36960300</v>
      </c>
    </row>
    <row r="79" spans="1:8" x14ac:dyDescent="0.2">
      <c r="A79" s="4">
        <v>75</v>
      </c>
      <c r="B79" s="4">
        <v>353</v>
      </c>
      <c r="C79" s="4">
        <v>300</v>
      </c>
      <c r="D79" s="4">
        <f t="shared" si="10"/>
        <v>124609</v>
      </c>
      <c r="E79" s="4">
        <f t="shared" si="11"/>
        <v>43986977</v>
      </c>
      <c r="F79" s="4">
        <f t="shared" si="12"/>
        <v>15527402881</v>
      </c>
      <c r="G79" s="4">
        <f t="shared" si="13"/>
        <v>105900</v>
      </c>
      <c r="H79" s="4">
        <f t="shared" si="14"/>
        <v>37382700</v>
      </c>
    </row>
    <row r="80" spans="1:8" x14ac:dyDescent="0.2">
      <c r="A80" s="4">
        <v>76</v>
      </c>
      <c r="B80" s="4">
        <v>353</v>
      </c>
      <c r="C80" s="4">
        <v>300</v>
      </c>
      <c r="D80" s="4">
        <f t="shared" si="10"/>
        <v>124609</v>
      </c>
      <c r="E80" s="4">
        <f t="shared" si="11"/>
        <v>43986977</v>
      </c>
      <c r="F80" s="4">
        <f t="shared" si="12"/>
        <v>15527402881</v>
      </c>
      <c r="G80" s="4">
        <f t="shared" si="13"/>
        <v>105900</v>
      </c>
      <c r="H80" s="4">
        <f t="shared" si="14"/>
        <v>37382700</v>
      </c>
    </row>
    <row r="81" spans="1:8" x14ac:dyDescent="0.2">
      <c r="A81" s="4">
        <v>77</v>
      </c>
      <c r="B81" s="4">
        <v>355</v>
      </c>
      <c r="C81" s="4">
        <v>300</v>
      </c>
      <c r="D81" s="4">
        <f t="shared" si="10"/>
        <v>126025</v>
      </c>
      <c r="E81" s="4">
        <f t="shared" si="11"/>
        <v>44738875</v>
      </c>
      <c r="F81" s="4">
        <f t="shared" si="12"/>
        <v>15882300625</v>
      </c>
      <c r="G81" s="4">
        <f t="shared" si="13"/>
        <v>106500</v>
      </c>
      <c r="H81" s="4">
        <f t="shared" si="14"/>
        <v>37807500</v>
      </c>
    </row>
    <row r="82" spans="1:8" x14ac:dyDescent="0.2">
      <c r="A82" s="4">
        <v>78</v>
      </c>
      <c r="B82" s="4">
        <v>354</v>
      </c>
      <c r="C82" s="4">
        <v>300</v>
      </c>
      <c r="D82" s="4">
        <f t="shared" si="10"/>
        <v>125316</v>
      </c>
      <c r="E82" s="4">
        <f t="shared" si="11"/>
        <v>44361864</v>
      </c>
      <c r="F82" s="4">
        <f t="shared" si="12"/>
        <v>15704099856</v>
      </c>
      <c r="G82" s="4">
        <f t="shared" si="13"/>
        <v>106200</v>
      </c>
      <c r="H82" s="4">
        <f t="shared" si="14"/>
        <v>37594800</v>
      </c>
    </row>
    <row r="83" spans="1:8" x14ac:dyDescent="0.2">
      <c r="A83" s="4">
        <v>79</v>
      </c>
      <c r="B83" s="4">
        <v>355</v>
      </c>
      <c r="C83" s="4">
        <v>300</v>
      </c>
      <c r="D83" s="4">
        <f t="shared" si="10"/>
        <v>126025</v>
      </c>
      <c r="E83" s="4">
        <f t="shared" si="11"/>
        <v>44738875</v>
      </c>
      <c r="F83" s="4">
        <f t="shared" si="12"/>
        <v>15882300625</v>
      </c>
      <c r="G83" s="4">
        <f t="shared" si="13"/>
        <v>106500</v>
      </c>
      <c r="H83" s="4">
        <f t="shared" si="14"/>
        <v>37807500</v>
      </c>
    </row>
    <row r="84" spans="1:8" x14ac:dyDescent="0.2">
      <c r="A84" s="4">
        <v>80</v>
      </c>
      <c r="B84" s="4">
        <v>356</v>
      </c>
      <c r="C84" s="4">
        <v>300</v>
      </c>
      <c r="D84" s="4">
        <f t="shared" si="10"/>
        <v>126736</v>
      </c>
      <c r="E84" s="4">
        <f t="shared" si="11"/>
        <v>45118016</v>
      </c>
      <c r="F84" s="4">
        <f t="shared" si="12"/>
        <v>16062013696</v>
      </c>
      <c r="G84" s="4">
        <f t="shared" si="13"/>
        <v>106800</v>
      </c>
      <c r="H84" s="4">
        <f t="shared" si="14"/>
        <v>38020800</v>
      </c>
    </row>
    <row r="85" spans="1:8" x14ac:dyDescent="0.2">
      <c r="A85" s="7" t="s">
        <v>16</v>
      </c>
      <c r="B85" s="7">
        <f t="shared" ref="B85:H85" si="15">SUM(B5:B84)</f>
        <v>17429</v>
      </c>
      <c r="C85" s="7">
        <f t="shared" si="15"/>
        <v>13400</v>
      </c>
      <c r="D85" s="7">
        <f t="shared" si="15"/>
        <v>4506561</v>
      </c>
      <c r="E85" s="7">
        <f t="shared" si="15"/>
        <v>1313412749</v>
      </c>
      <c r="F85" s="7">
        <f t="shared" si="15"/>
        <v>411579614985</v>
      </c>
      <c r="G85" s="7">
        <f t="shared" si="15"/>
        <v>3599820</v>
      </c>
      <c r="H85" s="7">
        <f t="shared" si="15"/>
        <v>1073872280</v>
      </c>
    </row>
    <row r="88" spans="1:8" x14ac:dyDescent="0.2">
      <c r="A88" s="6" t="s">
        <v>17</v>
      </c>
    </row>
    <row r="89" spans="1:8" x14ac:dyDescent="0.2">
      <c r="A89" s="6" t="s">
        <v>18</v>
      </c>
      <c r="B89">
        <f>((B2*G85)-(B85*C85)) / ((B2*D85)-(B85^2))</f>
        <v>0.95916050435805134</v>
      </c>
    </row>
    <row r="90" spans="1:8" x14ac:dyDescent="0.2">
      <c r="A90" s="6" t="s">
        <v>19</v>
      </c>
      <c r="B90">
        <f>(C85-B89*B85)/B2</f>
        <v>-41.465105380705971</v>
      </c>
    </row>
    <row r="93" spans="1:8" x14ac:dyDescent="0.2">
      <c r="A93" s="6" t="s">
        <v>20</v>
      </c>
    </row>
    <row r="94" spans="1:8" x14ac:dyDescent="0.2">
      <c r="A94" s="6" t="s">
        <v>21</v>
      </c>
    </row>
    <row r="95" spans="1:8" x14ac:dyDescent="0.2">
      <c r="B95" s="8" t="s">
        <v>7</v>
      </c>
      <c r="C95" s="8" t="s">
        <v>22</v>
      </c>
      <c r="D95" s="8" t="s">
        <v>23</v>
      </c>
      <c r="F95" s="6" t="s">
        <v>24</v>
      </c>
    </row>
    <row r="96" spans="1:8" x14ac:dyDescent="0.2">
      <c r="A96" t="s">
        <v>25</v>
      </c>
      <c r="B96">
        <f>B2</f>
        <v>80</v>
      </c>
      <c r="C96">
        <f>B85</f>
        <v>17429</v>
      </c>
      <c r="D96">
        <f>D85</f>
        <v>4506561</v>
      </c>
      <c r="F96">
        <f>C85</f>
        <v>13400</v>
      </c>
    </row>
    <row r="97" spans="1:6" x14ac:dyDescent="0.2">
      <c r="A97" t="s">
        <v>26</v>
      </c>
      <c r="B97">
        <f>B85</f>
        <v>17429</v>
      </c>
      <c r="C97">
        <f>D85</f>
        <v>4506561</v>
      </c>
      <c r="D97">
        <f>E85</f>
        <v>1313412749</v>
      </c>
      <c r="F97">
        <f>G85</f>
        <v>3599820</v>
      </c>
    </row>
    <row r="98" spans="1:6" x14ac:dyDescent="0.2">
      <c r="A98" t="s">
        <v>27</v>
      </c>
      <c r="B98">
        <f>D85</f>
        <v>4506561</v>
      </c>
      <c r="C98">
        <f>E85</f>
        <v>1313412749</v>
      </c>
      <c r="D98">
        <f>F85</f>
        <v>411579614985</v>
      </c>
      <c r="F98">
        <f>H85</f>
        <v>1073872280</v>
      </c>
    </row>
    <row r="100" spans="1:6" x14ac:dyDescent="0.2">
      <c r="A100" s="6" t="s">
        <v>28</v>
      </c>
    </row>
    <row r="101" spans="1:6" x14ac:dyDescent="0.2">
      <c r="A101" s="6" t="s">
        <v>29</v>
      </c>
      <c r="B101">
        <f>INDEX(MMULT(MINVERSE(B96:D98),F96:F98),1,1)</f>
        <v>-25.341996416231268</v>
      </c>
    </row>
    <row r="102" spans="1:6" x14ac:dyDescent="0.2">
      <c r="A102" s="6" t="s">
        <v>30</v>
      </c>
      <c r="B102">
        <f>INDEX(MMULT(MINVERSE(B96:D98),F96:F98),2,1)</f>
        <v>0.79353160642367015</v>
      </c>
    </row>
    <row r="103" spans="1:6" x14ac:dyDescent="0.2">
      <c r="A103" s="6" t="s">
        <v>31</v>
      </c>
      <c r="B103">
        <f>INDEX(MMULT(MINVERSE(B96:D98),F96:F98),3,1)</f>
        <v>3.5434943517670403E-4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34</v>
      </c>
    </row>
    <row r="2" spans="1:8" x14ac:dyDescent="0.2">
      <c r="A2" s="6" t="s">
        <v>7</v>
      </c>
      <c r="B2">
        <v>40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551</v>
      </c>
      <c r="C5" s="4">
        <v>500</v>
      </c>
      <c r="D5" s="4">
        <f t="shared" ref="D5:D44" si="0">B5^2</f>
        <v>303601</v>
      </c>
      <c r="E5" s="4">
        <f t="shared" ref="E5:E44" si="1">B5^3</f>
        <v>167284151</v>
      </c>
      <c r="F5" s="4">
        <f t="shared" ref="F5:F44" si="2">B5^4</f>
        <v>92173567201</v>
      </c>
      <c r="G5" s="4">
        <f t="shared" ref="G5:G44" si="3">B5*C5</f>
        <v>275500</v>
      </c>
      <c r="H5" s="4">
        <f t="shared" ref="H5:H44" si="4">D5*C5</f>
        <v>151800500</v>
      </c>
    </row>
    <row r="6" spans="1:8" x14ac:dyDescent="0.2">
      <c r="A6" s="4">
        <v>2</v>
      </c>
      <c r="B6" s="4">
        <v>552</v>
      </c>
      <c r="C6" s="4">
        <v>500</v>
      </c>
      <c r="D6" s="4">
        <f t="shared" si="0"/>
        <v>304704</v>
      </c>
      <c r="E6" s="4">
        <f t="shared" si="1"/>
        <v>168196608</v>
      </c>
      <c r="F6" s="4">
        <f t="shared" si="2"/>
        <v>92844527616</v>
      </c>
      <c r="G6" s="4">
        <f t="shared" si="3"/>
        <v>276000</v>
      </c>
      <c r="H6" s="4">
        <f t="shared" si="4"/>
        <v>152352000</v>
      </c>
    </row>
    <row r="7" spans="1:8" x14ac:dyDescent="0.2">
      <c r="A7" s="4">
        <v>3</v>
      </c>
      <c r="B7" s="4">
        <v>550</v>
      </c>
      <c r="C7" s="4">
        <v>500</v>
      </c>
      <c r="D7" s="4">
        <f t="shared" si="0"/>
        <v>302500</v>
      </c>
      <c r="E7" s="4">
        <f t="shared" si="1"/>
        <v>166375000</v>
      </c>
      <c r="F7" s="4">
        <f t="shared" si="2"/>
        <v>91506250000</v>
      </c>
      <c r="G7" s="4">
        <f t="shared" si="3"/>
        <v>275000</v>
      </c>
      <c r="H7" s="4">
        <f t="shared" si="4"/>
        <v>151250000</v>
      </c>
    </row>
    <row r="8" spans="1:8" x14ac:dyDescent="0.2">
      <c r="A8" s="4">
        <v>4</v>
      </c>
      <c r="B8" s="4">
        <v>551</v>
      </c>
      <c r="C8" s="4">
        <v>500</v>
      </c>
      <c r="D8" s="4">
        <f t="shared" si="0"/>
        <v>303601</v>
      </c>
      <c r="E8" s="4">
        <f t="shared" si="1"/>
        <v>167284151</v>
      </c>
      <c r="F8" s="4">
        <f t="shared" si="2"/>
        <v>92173567201</v>
      </c>
      <c r="G8" s="4">
        <f t="shared" si="3"/>
        <v>275500</v>
      </c>
      <c r="H8" s="4">
        <f t="shared" si="4"/>
        <v>151800500</v>
      </c>
    </row>
    <row r="9" spans="1:8" x14ac:dyDescent="0.2">
      <c r="A9" s="4">
        <v>5</v>
      </c>
      <c r="B9" s="4">
        <v>549</v>
      </c>
      <c r="C9" s="4">
        <v>500</v>
      </c>
      <c r="D9" s="4">
        <f t="shared" si="0"/>
        <v>301401</v>
      </c>
      <c r="E9" s="4">
        <f t="shared" si="1"/>
        <v>165469149</v>
      </c>
      <c r="F9" s="4">
        <f t="shared" si="2"/>
        <v>90842562801</v>
      </c>
      <c r="G9" s="4">
        <f t="shared" si="3"/>
        <v>274500</v>
      </c>
      <c r="H9" s="4">
        <f t="shared" si="4"/>
        <v>150700500</v>
      </c>
    </row>
    <row r="10" spans="1:8" x14ac:dyDescent="0.2">
      <c r="A10" s="4">
        <v>6</v>
      </c>
      <c r="B10" s="4">
        <v>548</v>
      </c>
      <c r="C10" s="4">
        <v>500</v>
      </c>
      <c r="D10" s="4">
        <f t="shared" si="0"/>
        <v>300304</v>
      </c>
      <c r="E10" s="4">
        <f t="shared" si="1"/>
        <v>164566592</v>
      </c>
      <c r="F10" s="4">
        <f t="shared" si="2"/>
        <v>90182492416</v>
      </c>
      <c r="G10" s="4">
        <f t="shared" si="3"/>
        <v>274000</v>
      </c>
      <c r="H10" s="4">
        <f t="shared" si="4"/>
        <v>150152000</v>
      </c>
    </row>
    <row r="11" spans="1:8" x14ac:dyDescent="0.2">
      <c r="A11" s="4">
        <v>7</v>
      </c>
      <c r="B11" s="4">
        <v>547</v>
      </c>
      <c r="C11" s="4">
        <v>500</v>
      </c>
      <c r="D11" s="4">
        <f t="shared" si="0"/>
        <v>299209</v>
      </c>
      <c r="E11" s="4">
        <f t="shared" si="1"/>
        <v>163667323</v>
      </c>
      <c r="F11" s="4">
        <f t="shared" si="2"/>
        <v>89526025681</v>
      </c>
      <c r="G11" s="4">
        <f t="shared" si="3"/>
        <v>273500</v>
      </c>
      <c r="H11" s="4">
        <f t="shared" si="4"/>
        <v>149604500</v>
      </c>
    </row>
    <row r="12" spans="1:8" x14ac:dyDescent="0.2">
      <c r="A12" s="4">
        <v>8</v>
      </c>
      <c r="B12" s="4">
        <v>549</v>
      </c>
      <c r="C12" s="4">
        <v>500</v>
      </c>
      <c r="D12" s="4">
        <f t="shared" si="0"/>
        <v>301401</v>
      </c>
      <c r="E12" s="4">
        <f t="shared" si="1"/>
        <v>165469149</v>
      </c>
      <c r="F12" s="4">
        <f t="shared" si="2"/>
        <v>90842562801</v>
      </c>
      <c r="G12" s="4">
        <f t="shared" si="3"/>
        <v>274500</v>
      </c>
      <c r="H12" s="4">
        <f t="shared" si="4"/>
        <v>150700500</v>
      </c>
    </row>
    <row r="13" spans="1:8" x14ac:dyDescent="0.2">
      <c r="A13" s="4">
        <v>9</v>
      </c>
      <c r="B13" s="4">
        <v>550</v>
      </c>
      <c r="C13" s="4">
        <v>500</v>
      </c>
      <c r="D13" s="4">
        <f t="shared" si="0"/>
        <v>302500</v>
      </c>
      <c r="E13" s="4">
        <f t="shared" si="1"/>
        <v>166375000</v>
      </c>
      <c r="F13" s="4">
        <f t="shared" si="2"/>
        <v>91506250000</v>
      </c>
      <c r="G13" s="4">
        <f t="shared" si="3"/>
        <v>275000</v>
      </c>
      <c r="H13" s="4">
        <f t="shared" si="4"/>
        <v>151250000</v>
      </c>
    </row>
    <row r="14" spans="1:8" x14ac:dyDescent="0.2">
      <c r="A14" s="4">
        <v>10</v>
      </c>
      <c r="B14" s="4">
        <v>549</v>
      </c>
      <c r="C14" s="4">
        <v>500</v>
      </c>
      <c r="D14" s="4">
        <f t="shared" si="0"/>
        <v>301401</v>
      </c>
      <c r="E14" s="4">
        <f t="shared" si="1"/>
        <v>165469149</v>
      </c>
      <c r="F14" s="4">
        <f t="shared" si="2"/>
        <v>90842562801</v>
      </c>
      <c r="G14" s="4">
        <f t="shared" si="3"/>
        <v>274500</v>
      </c>
      <c r="H14" s="4">
        <f t="shared" si="4"/>
        <v>150700500</v>
      </c>
    </row>
    <row r="15" spans="1:8" x14ac:dyDescent="0.2">
      <c r="A15" s="4">
        <v>11</v>
      </c>
      <c r="B15" s="4">
        <v>548</v>
      </c>
      <c r="C15" s="4">
        <v>500</v>
      </c>
      <c r="D15" s="4">
        <f t="shared" si="0"/>
        <v>300304</v>
      </c>
      <c r="E15" s="4">
        <f t="shared" si="1"/>
        <v>164566592</v>
      </c>
      <c r="F15" s="4">
        <f t="shared" si="2"/>
        <v>90182492416</v>
      </c>
      <c r="G15" s="4">
        <f t="shared" si="3"/>
        <v>274000</v>
      </c>
      <c r="H15" s="4">
        <f t="shared" si="4"/>
        <v>150152000</v>
      </c>
    </row>
    <row r="16" spans="1:8" x14ac:dyDescent="0.2">
      <c r="A16" s="4">
        <v>12</v>
      </c>
      <c r="B16" s="4">
        <v>550</v>
      </c>
      <c r="C16" s="4">
        <v>500</v>
      </c>
      <c r="D16" s="4">
        <f t="shared" si="0"/>
        <v>302500</v>
      </c>
      <c r="E16" s="4">
        <f t="shared" si="1"/>
        <v>166375000</v>
      </c>
      <c r="F16" s="4">
        <f t="shared" si="2"/>
        <v>91506250000</v>
      </c>
      <c r="G16" s="4">
        <f t="shared" si="3"/>
        <v>275000</v>
      </c>
      <c r="H16" s="4">
        <f t="shared" si="4"/>
        <v>151250000</v>
      </c>
    </row>
    <row r="17" spans="1:8" x14ac:dyDescent="0.2">
      <c r="A17" s="4">
        <v>13</v>
      </c>
      <c r="B17" s="4">
        <v>546</v>
      </c>
      <c r="C17" s="4">
        <v>500</v>
      </c>
      <c r="D17" s="4">
        <f t="shared" si="0"/>
        <v>298116</v>
      </c>
      <c r="E17" s="4">
        <f t="shared" si="1"/>
        <v>162771336</v>
      </c>
      <c r="F17" s="4">
        <f t="shared" si="2"/>
        <v>88873149456</v>
      </c>
      <c r="G17" s="4">
        <f t="shared" si="3"/>
        <v>273000</v>
      </c>
      <c r="H17" s="4">
        <f t="shared" si="4"/>
        <v>149058000</v>
      </c>
    </row>
    <row r="18" spans="1:8" x14ac:dyDescent="0.2">
      <c r="A18" s="4">
        <v>14</v>
      </c>
      <c r="B18" s="4">
        <v>549</v>
      </c>
      <c r="C18" s="4">
        <v>500</v>
      </c>
      <c r="D18" s="4">
        <f t="shared" si="0"/>
        <v>301401</v>
      </c>
      <c r="E18" s="4">
        <f t="shared" si="1"/>
        <v>165469149</v>
      </c>
      <c r="F18" s="4">
        <f t="shared" si="2"/>
        <v>90842562801</v>
      </c>
      <c r="G18" s="4">
        <f t="shared" si="3"/>
        <v>274500</v>
      </c>
      <c r="H18" s="4">
        <f t="shared" si="4"/>
        <v>150700500</v>
      </c>
    </row>
    <row r="19" spans="1:8" x14ac:dyDescent="0.2">
      <c r="A19" s="4">
        <v>15</v>
      </c>
      <c r="B19" s="4">
        <v>551</v>
      </c>
      <c r="C19" s="4">
        <v>500</v>
      </c>
      <c r="D19" s="4">
        <f t="shared" si="0"/>
        <v>303601</v>
      </c>
      <c r="E19" s="4">
        <f t="shared" si="1"/>
        <v>167284151</v>
      </c>
      <c r="F19" s="4">
        <f t="shared" si="2"/>
        <v>92173567201</v>
      </c>
      <c r="G19" s="4">
        <f t="shared" si="3"/>
        <v>275500</v>
      </c>
      <c r="H19" s="4">
        <f t="shared" si="4"/>
        <v>151800500</v>
      </c>
    </row>
    <row r="20" spans="1:8" x14ac:dyDescent="0.2">
      <c r="A20" s="4">
        <v>16</v>
      </c>
      <c r="B20" s="4">
        <v>548</v>
      </c>
      <c r="C20" s="4">
        <v>500</v>
      </c>
      <c r="D20" s="4">
        <f t="shared" si="0"/>
        <v>300304</v>
      </c>
      <c r="E20" s="4">
        <f t="shared" si="1"/>
        <v>164566592</v>
      </c>
      <c r="F20" s="4">
        <f t="shared" si="2"/>
        <v>90182492416</v>
      </c>
      <c r="G20" s="4">
        <f t="shared" si="3"/>
        <v>274000</v>
      </c>
      <c r="H20" s="4">
        <f t="shared" si="4"/>
        <v>150152000</v>
      </c>
    </row>
    <row r="21" spans="1:8" x14ac:dyDescent="0.2">
      <c r="A21" s="4">
        <v>17</v>
      </c>
      <c r="B21" s="4">
        <v>552</v>
      </c>
      <c r="C21" s="4">
        <v>500</v>
      </c>
      <c r="D21" s="4">
        <f t="shared" si="0"/>
        <v>304704</v>
      </c>
      <c r="E21" s="4">
        <f t="shared" si="1"/>
        <v>168196608</v>
      </c>
      <c r="F21" s="4">
        <f t="shared" si="2"/>
        <v>92844527616</v>
      </c>
      <c r="G21" s="4">
        <f t="shared" si="3"/>
        <v>276000</v>
      </c>
      <c r="H21" s="4">
        <f t="shared" si="4"/>
        <v>152352000</v>
      </c>
    </row>
    <row r="22" spans="1:8" x14ac:dyDescent="0.2">
      <c r="A22" s="4">
        <v>18</v>
      </c>
      <c r="B22" s="4">
        <v>551</v>
      </c>
      <c r="C22" s="4">
        <v>500</v>
      </c>
      <c r="D22" s="4">
        <f t="shared" si="0"/>
        <v>303601</v>
      </c>
      <c r="E22" s="4">
        <f t="shared" si="1"/>
        <v>167284151</v>
      </c>
      <c r="F22" s="4">
        <f t="shared" si="2"/>
        <v>92173567201</v>
      </c>
      <c r="G22" s="4">
        <f t="shared" si="3"/>
        <v>275500</v>
      </c>
      <c r="H22" s="4">
        <f t="shared" si="4"/>
        <v>151800500</v>
      </c>
    </row>
    <row r="23" spans="1:8" x14ac:dyDescent="0.2">
      <c r="A23" s="4">
        <v>19</v>
      </c>
      <c r="B23" s="4">
        <v>552</v>
      </c>
      <c r="C23" s="4">
        <v>500</v>
      </c>
      <c r="D23" s="4">
        <f t="shared" si="0"/>
        <v>304704</v>
      </c>
      <c r="E23" s="4">
        <f t="shared" si="1"/>
        <v>168196608</v>
      </c>
      <c r="F23" s="4">
        <f t="shared" si="2"/>
        <v>92844527616</v>
      </c>
      <c r="G23" s="4">
        <f t="shared" si="3"/>
        <v>276000</v>
      </c>
      <c r="H23" s="4">
        <f t="shared" si="4"/>
        <v>152352000</v>
      </c>
    </row>
    <row r="24" spans="1:8" x14ac:dyDescent="0.2">
      <c r="A24" s="4">
        <v>20</v>
      </c>
      <c r="B24" s="4">
        <v>550</v>
      </c>
      <c r="C24" s="4">
        <v>500</v>
      </c>
      <c r="D24" s="4">
        <f t="shared" si="0"/>
        <v>302500</v>
      </c>
      <c r="E24" s="4">
        <f t="shared" si="1"/>
        <v>166375000</v>
      </c>
      <c r="F24" s="4">
        <f t="shared" si="2"/>
        <v>91506250000</v>
      </c>
      <c r="G24" s="4">
        <f t="shared" si="3"/>
        <v>275000</v>
      </c>
      <c r="H24" s="4">
        <f t="shared" si="4"/>
        <v>151250000</v>
      </c>
    </row>
    <row r="25" spans="1:8" x14ac:dyDescent="0.2">
      <c r="A25" s="4">
        <v>21</v>
      </c>
      <c r="B25" s="4">
        <v>765</v>
      </c>
      <c r="C25" s="4">
        <v>700</v>
      </c>
      <c r="D25" s="4">
        <f t="shared" si="0"/>
        <v>585225</v>
      </c>
      <c r="E25" s="4">
        <f t="shared" si="1"/>
        <v>447697125</v>
      </c>
      <c r="F25" s="4">
        <f t="shared" si="2"/>
        <v>342488300625</v>
      </c>
      <c r="G25" s="4">
        <f t="shared" si="3"/>
        <v>535500</v>
      </c>
      <c r="H25" s="4">
        <f t="shared" si="4"/>
        <v>409657500</v>
      </c>
    </row>
    <row r="26" spans="1:8" x14ac:dyDescent="0.2">
      <c r="A26" s="4">
        <v>22</v>
      </c>
      <c r="B26" s="4">
        <v>775</v>
      </c>
      <c r="C26" s="4">
        <v>700</v>
      </c>
      <c r="D26" s="4">
        <f t="shared" si="0"/>
        <v>600625</v>
      </c>
      <c r="E26" s="4">
        <f t="shared" si="1"/>
        <v>465484375</v>
      </c>
      <c r="F26" s="4">
        <f t="shared" si="2"/>
        <v>360750390625</v>
      </c>
      <c r="G26" s="4">
        <f t="shared" si="3"/>
        <v>542500</v>
      </c>
      <c r="H26" s="4">
        <f t="shared" si="4"/>
        <v>420437500</v>
      </c>
    </row>
    <row r="27" spans="1:8" x14ac:dyDescent="0.2">
      <c r="A27" s="4">
        <v>23</v>
      </c>
      <c r="B27" s="4">
        <v>780</v>
      </c>
      <c r="C27" s="4">
        <v>700</v>
      </c>
      <c r="D27" s="4">
        <f t="shared" si="0"/>
        <v>608400</v>
      </c>
      <c r="E27" s="4">
        <f t="shared" si="1"/>
        <v>474552000</v>
      </c>
      <c r="F27" s="4">
        <f t="shared" si="2"/>
        <v>370150560000</v>
      </c>
      <c r="G27" s="4">
        <f t="shared" si="3"/>
        <v>546000</v>
      </c>
      <c r="H27" s="4">
        <f t="shared" si="4"/>
        <v>425880000</v>
      </c>
    </row>
    <row r="28" spans="1:8" x14ac:dyDescent="0.2">
      <c r="A28" s="4">
        <v>24</v>
      </c>
      <c r="B28" s="4">
        <v>781</v>
      </c>
      <c r="C28" s="4">
        <v>700</v>
      </c>
      <c r="D28" s="4">
        <f t="shared" si="0"/>
        <v>609961</v>
      </c>
      <c r="E28" s="4">
        <f t="shared" si="1"/>
        <v>476379541</v>
      </c>
      <c r="F28" s="4">
        <f t="shared" si="2"/>
        <v>372052421521</v>
      </c>
      <c r="G28" s="4">
        <f t="shared" si="3"/>
        <v>546700</v>
      </c>
      <c r="H28" s="4">
        <f t="shared" si="4"/>
        <v>426972700</v>
      </c>
    </row>
    <row r="29" spans="1:8" x14ac:dyDescent="0.2">
      <c r="A29" s="4">
        <v>25</v>
      </c>
      <c r="B29" s="4">
        <v>765</v>
      </c>
      <c r="C29" s="4">
        <v>700</v>
      </c>
      <c r="D29" s="4">
        <f t="shared" si="0"/>
        <v>585225</v>
      </c>
      <c r="E29" s="4">
        <f t="shared" si="1"/>
        <v>447697125</v>
      </c>
      <c r="F29" s="4">
        <f t="shared" si="2"/>
        <v>342488300625</v>
      </c>
      <c r="G29" s="4">
        <f t="shared" si="3"/>
        <v>535500</v>
      </c>
      <c r="H29" s="4">
        <f t="shared" si="4"/>
        <v>409657500</v>
      </c>
    </row>
    <row r="30" spans="1:8" x14ac:dyDescent="0.2">
      <c r="A30" s="4">
        <v>26</v>
      </c>
      <c r="B30" s="4">
        <v>766</v>
      </c>
      <c r="C30" s="4">
        <v>700</v>
      </c>
      <c r="D30" s="4">
        <f t="shared" si="0"/>
        <v>586756</v>
      </c>
      <c r="E30" s="4">
        <f t="shared" si="1"/>
        <v>449455096</v>
      </c>
      <c r="F30" s="4">
        <f t="shared" si="2"/>
        <v>344282603536</v>
      </c>
      <c r="G30" s="4">
        <f t="shared" si="3"/>
        <v>536200</v>
      </c>
      <c r="H30" s="4">
        <f t="shared" si="4"/>
        <v>410729200</v>
      </c>
    </row>
    <row r="31" spans="1:8" x14ac:dyDescent="0.2">
      <c r="A31" s="4">
        <v>27</v>
      </c>
      <c r="B31" s="4">
        <v>769</v>
      </c>
      <c r="C31" s="4">
        <v>700</v>
      </c>
      <c r="D31" s="4">
        <f t="shared" si="0"/>
        <v>591361</v>
      </c>
      <c r="E31" s="4">
        <f t="shared" si="1"/>
        <v>454756609</v>
      </c>
      <c r="F31" s="4">
        <f t="shared" si="2"/>
        <v>349707832321</v>
      </c>
      <c r="G31" s="4">
        <f t="shared" si="3"/>
        <v>538300</v>
      </c>
      <c r="H31" s="4">
        <f t="shared" si="4"/>
        <v>413952700</v>
      </c>
    </row>
    <row r="32" spans="1:8" x14ac:dyDescent="0.2">
      <c r="A32" s="4">
        <v>28</v>
      </c>
      <c r="B32" s="4">
        <v>764</v>
      </c>
      <c r="C32" s="4">
        <v>700</v>
      </c>
      <c r="D32" s="4">
        <f t="shared" si="0"/>
        <v>583696</v>
      </c>
      <c r="E32" s="4">
        <f t="shared" si="1"/>
        <v>445943744</v>
      </c>
      <c r="F32" s="4">
        <f t="shared" si="2"/>
        <v>340701020416</v>
      </c>
      <c r="G32" s="4">
        <f t="shared" si="3"/>
        <v>534800</v>
      </c>
      <c r="H32" s="4">
        <f t="shared" si="4"/>
        <v>408587200</v>
      </c>
    </row>
    <row r="33" spans="1:8" x14ac:dyDescent="0.2">
      <c r="A33" s="4">
        <v>29</v>
      </c>
      <c r="B33" s="4">
        <v>765</v>
      </c>
      <c r="C33" s="4">
        <v>700</v>
      </c>
      <c r="D33" s="4">
        <f t="shared" si="0"/>
        <v>585225</v>
      </c>
      <c r="E33" s="4">
        <f t="shared" si="1"/>
        <v>447697125</v>
      </c>
      <c r="F33" s="4">
        <f t="shared" si="2"/>
        <v>342488300625</v>
      </c>
      <c r="G33" s="4">
        <f t="shared" si="3"/>
        <v>535500</v>
      </c>
      <c r="H33" s="4">
        <f t="shared" si="4"/>
        <v>409657500</v>
      </c>
    </row>
    <row r="34" spans="1:8" x14ac:dyDescent="0.2">
      <c r="A34" s="4">
        <v>30</v>
      </c>
      <c r="B34" s="4">
        <v>761</v>
      </c>
      <c r="C34" s="4">
        <v>700</v>
      </c>
      <c r="D34" s="4">
        <f t="shared" si="0"/>
        <v>579121</v>
      </c>
      <c r="E34" s="4">
        <f t="shared" si="1"/>
        <v>440711081</v>
      </c>
      <c r="F34" s="4">
        <f t="shared" si="2"/>
        <v>335381132641</v>
      </c>
      <c r="G34" s="4">
        <f t="shared" si="3"/>
        <v>532700</v>
      </c>
      <c r="H34" s="4">
        <f t="shared" si="4"/>
        <v>405384700</v>
      </c>
    </row>
    <row r="35" spans="1:8" x14ac:dyDescent="0.2">
      <c r="A35" s="4">
        <v>31</v>
      </c>
      <c r="B35" s="4">
        <v>771</v>
      </c>
      <c r="C35" s="4">
        <v>700</v>
      </c>
      <c r="D35" s="4">
        <f t="shared" si="0"/>
        <v>594441</v>
      </c>
      <c r="E35" s="4">
        <f t="shared" si="1"/>
        <v>458314011</v>
      </c>
      <c r="F35" s="4">
        <f t="shared" si="2"/>
        <v>353360102481</v>
      </c>
      <c r="G35" s="4">
        <f t="shared" si="3"/>
        <v>539700</v>
      </c>
      <c r="H35" s="4">
        <f t="shared" si="4"/>
        <v>416108700</v>
      </c>
    </row>
    <row r="36" spans="1:8" x14ac:dyDescent="0.2">
      <c r="A36" s="4">
        <v>32</v>
      </c>
      <c r="B36" s="4">
        <v>751</v>
      </c>
      <c r="C36" s="4">
        <v>700</v>
      </c>
      <c r="D36" s="4">
        <f t="shared" si="0"/>
        <v>564001</v>
      </c>
      <c r="E36" s="4">
        <f t="shared" si="1"/>
        <v>423564751</v>
      </c>
      <c r="F36" s="4">
        <f t="shared" si="2"/>
        <v>318097128001</v>
      </c>
      <c r="G36" s="4">
        <f t="shared" si="3"/>
        <v>525700</v>
      </c>
      <c r="H36" s="4">
        <f t="shared" si="4"/>
        <v>394800700</v>
      </c>
    </row>
    <row r="37" spans="1:8" x14ac:dyDescent="0.2">
      <c r="A37" s="4">
        <v>33</v>
      </c>
      <c r="B37" s="4">
        <v>759</v>
      </c>
      <c r="C37" s="4">
        <v>700</v>
      </c>
      <c r="D37" s="4">
        <f t="shared" si="0"/>
        <v>576081</v>
      </c>
      <c r="E37" s="4">
        <f t="shared" si="1"/>
        <v>437245479</v>
      </c>
      <c r="F37" s="4">
        <f t="shared" si="2"/>
        <v>331869318561</v>
      </c>
      <c r="G37" s="4">
        <f t="shared" si="3"/>
        <v>531300</v>
      </c>
      <c r="H37" s="4">
        <f t="shared" si="4"/>
        <v>403256700</v>
      </c>
    </row>
    <row r="38" spans="1:8" x14ac:dyDescent="0.2">
      <c r="A38" s="4">
        <v>34</v>
      </c>
      <c r="B38" s="4">
        <v>764</v>
      </c>
      <c r="C38" s="4">
        <v>700</v>
      </c>
      <c r="D38" s="4">
        <f t="shared" si="0"/>
        <v>583696</v>
      </c>
      <c r="E38" s="4">
        <f t="shared" si="1"/>
        <v>445943744</v>
      </c>
      <c r="F38" s="4">
        <f t="shared" si="2"/>
        <v>340701020416</v>
      </c>
      <c r="G38" s="4">
        <f t="shared" si="3"/>
        <v>534800</v>
      </c>
      <c r="H38" s="4">
        <f t="shared" si="4"/>
        <v>408587200</v>
      </c>
    </row>
    <row r="39" spans="1:8" x14ac:dyDescent="0.2">
      <c r="A39" s="4">
        <v>35</v>
      </c>
      <c r="B39" s="4">
        <v>762</v>
      </c>
      <c r="C39" s="4">
        <v>700</v>
      </c>
      <c r="D39" s="4">
        <f t="shared" si="0"/>
        <v>580644</v>
      </c>
      <c r="E39" s="4">
        <f t="shared" si="1"/>
        <v>442450728</v>
      </c>
      <c r="F39" s="4">
        <f t="shared" si="2"/>
        <v>337147454736</v>
      </c>
      <c r="G39" s="4">
        <f t="shared" si="3"/>
        <v>533400</v>
      </c>
      <c r="H39" s="4">
        <f t="shared" si="4"/>
        <v>406450800</v>
      </c>
    </row>
    <row r="40" spans="1:8" x14ac:dyDescent="0.2">
      <c r="A40" s="4">
        <v>36</v>
      </c>
      <c r="B40" s="4">
        <v>760</v>
      </c>
      <c r="C40" s="4">
        <v>700</v>
      </c>
      <c r="D40" s="4">
        <f t="shared" si="0"/>
        <v>577600</v>
      </c>
      <c r="E40" s="4">
        <f t="shared" si="1"/>
        <v>438976000</v>
      </c>
      <c r="F40" s="4">
        <f t="shared" si="2"/>
        <v>333621760000</v>
      </c>
      <c r="G40" s="4">
        <f t="shared" si="3"/>
        <v>532000</v>
      </c>
      <c r="H40" s="4">
        <f t="shared" si="4"/>
        <v>404320000</v>
      </c>
    </row>
    <row r="41" spans="1:8" x14ac:dyDescent="0.2">
      <c r="A41" s="4">
        <v>37</v>
      </c>
      <c r="B41" s="4">
        <v>749</v>
      </c>
      <c r="C41" s="4">
        <v>700</v>
      </c>
      <c r="D41" s="4">
        <f t="shared" si="0"/>
        <v>561001</v>
      </c>
      <c r="E41" s="4">
        <f t="shared" si="1"/>
        <v>420189749</v>
      </c>
      <c r="F41" s="4">
        <f t="shared" si="2"/>
        <v>314722122001</v>
      </c>
      <c r="G41" s="4">
        <f t="shared" si="3"/>
        <v>524300</v>
      </c>
      <c r="H41" s="4">
        <f t="shared" si="4"/>
        <v>392700700</v>
      </c>
    </row>
    <row r="42" spans="1:8" x14ac:dyDescent="0.2">
      <c r="A42" s="4">
        <v>38</v>
      </c>
      <c r="B42" s="4">
        <v>776</v>
      </c>
      <c r="C42" s="4">
        <v>700</v>
      </c>
      <c r="D42" s="4">
        <f t="shared" si="0"/>
        <v>602176</v>
      </c>
      <c r="E42" s="4">
        <f t="shared" si="1"/>
        <v>467288576</v>
      </c>
      <c r="F42" s="4">
        <f t="shared" si="2"/>
        <v>362615934976</v>
      </c>
      <c r="G42" s="4">
        <f t="shared" si="3"/>
        <v>543200</v>
      </c>
      <c r="H42" s="4">
        <f t="shared" si="4"/>
        <v>421523200</v>
      </c>
    </row>
    <row r="43" spans="1:8" x14ac:dyDescent="0.2">
      <c r="A43" s="4">
        <v>39</v>
      </c>
      <c r="B43" s="4">
        <v>754</v>
      </c>
      <c r="C43" s="4">
        <v>700</v>
      </c>
      <c r="D43" s="4">
        <f t="shared" si="0"/>
        <v>568516</v>
      </c>
      <c r="E43" s="4">
        <f t="shared" si="1"/>
        <v>428661064</v>
      </c>
      <c r="F43" s="4">
        <f t="shared" si="2"/>
        <v>323210442256</v>
      </c>
      <c r="G43" s="4">
        <f t="shared" si="3"/>
        <v>527800</v>
      </c>
      <c r="H43" s="4">
        <f t="shared" si="4"/>
        <v>397961200</v>
      </c>
    </row>
    <row r="44" spans="1:8" x14ac:dyDescent="0.2">
      <c r="A44" s="4">
        <v>40</v>
      </c>
      <c r="B44" s="4">
        <v>749</v>
      </c>
      <c r="C44" s="4">
        <v>700</v>
      </c>
      <c r="D44" s="4">
        <f t="shared" si="0"/>
        <v>561001</v>
      </c>
      <c r="E44" s="4">
        <f t="shared" si="1"/>
        <v>420189749</v>
      </c>
      <c r="F44" s="4">
        <f t="shared" si="2"/>
        <v>314722122001</v>
      </c>
      <c r="G44" s="4">
        <f t="shared" si="3"/>
        <v>524300</v>
      </c>
      <c r="H44" s="4">
        <f t="shared" si="4"/>
        <v>392700700</v>
      </c>
    </row>
    <row r="45" spans="1:8" x14ac:dyDescent="0.2">
      <c r="A45" s="7" t="s">
        <v>16</v>
      </c>
      <c r="B45" s="7">
        <f t="shared" ref="B45:H45" si="5">SUM(B5:B44)</f>
        <v>26279</v>
      </c>
      <c r="C45" s="7">
        <f t="shared" si="5"/>
        <v>24000</v>
      </c>
      <c r="D45" s="7">
        <f t="shared" si="5"/>
        <v>17727109</v>
      </c>
      <c r="E45" s="7">
        <f t="shared" si="5"/>
        <v>12254439131</v>
      </c>
      <c r="F45" s="7">
        <f t="shared" si="5"/>
        <v>8656128023605</v>
      </c>
      <c r="G45" s="7">
        <f t="shared" si="5"/>
        <v>16196700</v>
      </c>
      <c r="H45" s="7">
        <f t="shared" si="5"/>
        <v>11200504900</v>
      </c>
    </row>
    <row r="48" spans="1:8" x14ac:dyDescent="0.2">
      <c r="A48" s="6" t="s">
        <v>17</v>
      </c>
    </row>
    <row r="49" spans="1:6" x14ac:dyDescent="0.2">
      <c r="A49" s="6" t="s">
        <v>18</v>
      </c>
      <c r="B49">
        <f>((B2*G45)-(B45*C45)) / ((B2*D45)-(B45^2))</f>
        <v>0.92829052963645364</v>
      </c>
    </row>
    <row r="50" spans="1:6" x14ac:dyDescent="0.2">
      <c r="A50" s="6" t="s">
        <v>19</v>
      </c>
      <c r="B50">
        <f>(C45-B49*B45)/B2</f>
        <v>-9.8636707079091135</v>
      </c>
    </row>
    <row r="53" spans="1:6" x14ac:dyDescent="0.2">
      <c r="A53" s="6" t="s">
        <v>20</v>
      </c>
    </row>
    <row r="54" spans="1:6" x14ac:dyDescent="0.2">
      <c r="A54" s="6" t="s">
        <v>21</v>
      </c>
    </row>
    <row r="55" spans="1:6" x14ac:dyDescent="0.2">
      <c r="B55" s="8" t="s">
        <v>7</v>
      </c>
      <c r="C55" s="8" t="s">
        <v>22</v>
      </c>
      <c r="D55" s="8" t="s">
        <v>23</v>
      </c>
      <c r="F55" s="6" t="s">
        <v>24</v>
      </c>
    </row>
    <row r="56" spans="1:6" x14ac:dyDescent="0.2">
      <c r="A56" t="s">
        <v>25</v>
      </c>
      <c r="B56">
        <f>B2</f>
        <v>40</v>
      </c>
      <c r="C56">
        <f>B45</f>
        <v>26279</v>
      </c>
      <c r="D56">
        <f>D45</f>
        <v>17727109</v>
      </c>
      <c r="F56">
        <f>C45</f>
        <v>24000</v>
      </c>
    </row>
    <row r="57" spans="1:6" x14ac:dyDescent="0.2">
      <c r="A57" t="s">
        <v>26</v>
      </c>
      <c r="B57">
        <f>B45</f>
        <v>26279</v>
      </c>
      <c r="C57">
        <f>D45</f>
        <v>17727109</v>
      </c>
      <c r="D57">
        <f>E45</f>
        <v>12254439131</v>
      </c>
      <c r="F57">
        <f>G45</f>
        <v>16196700</v>
      </c>
    </row>
    <row r="58" spans="1:6" x14ac:dyDescent="0.2">
      <c r="A58" t="s">
        <v>27</v>
      </c>
      <c r="B58">
        <f>D45</f>
        <v>17727109</v>
      </c>
      <c r="C58">
        <f>E45</f>
        <v>12254439131</v>
      </c>
      <c r="D58">
        <f>F45</f>
        <v>8656128023605</v>
      </c>
      <c r="F58">
        <f>H45</f>
        <v>11200504900</v>
      </c>
    </row>
    <row r="60" spans="1:6" x14ac:dyDescent="0.2">
      <c r="A60" s="6" t="s">
        <v>28</v>
      </c>
    </row>
    <row r="61" spans="1:6" x14ac:dyDescent="0.2">
      <c r="A61" s="6" t="s">
        <v>29</v>
      </c>
      <c r="B61">
        <f>INDEX(MMULT(MINVERSE(B56:D58),F56:F58),1,1)</f>
        <v>-1713.6392732933164</v>
      </c>
    </row>
    <row r="62" spans="1:6" x14ac:dyDescent="0.2">
      <c r="A62" s="6" t="s">
        <v>30</v>
      </c>
      <c r="B62">
        <f>INDEX(MMULT(MINVERSE(B56:D58),F56:F58),2,1)</f>
        <v>6.2529896216001362</v>
      </c>
    </row>
    <row r="63" spans="1:6" x14ac:dyDescent="0.2">
      <c r="A63" s="6" t="s">
        <v>31</v>
      </c>
      <c r="B63">
        <f>INDEX(MMULT(MINVERSE(B56:D58),F56:F58),3,1)</f>
        <v>-4.0489818918274523E-3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35</v>
      </c>
    </row>
    <row r="2" spans="1:8" x14ac:dyDescent="0.2">
      <c r="A2" s="6" t="s">
        <v>7</v>
      </c>
      <c r="B2">
        <v>60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1056</v>
      </c>
      <c r="C5" s="4">
        <v>1000</v>
      </c>
      <c r="D5" s="4">
        <f t="shared" ref="D5:D36" si="0">B5^2</f>
        <v>1115136</v>
      </c>
      <c r="E5" s="4">
        <f t="shared" ref="E5:E36" si="1">B5^3</f>
        <v>1177583616</v>
      </c>
      <c r="F5" s="4">
        <f t="shared" ref="F5:F36" si="2">B5^4</f>
        <v>1243528298496</v>
      </c>
      <c r="G5" s="4">
        <f t="shared" ref="G5:G36" si="3">B5*C5</f>
        <v>1056000</v>
      </c>
      <c r="H5" s="4">
        <f t="shared" ref="H5:H36" si="4">D5*C5</f>
        <v>1115136000</v>
      </c>
    </row>
    <row r="6" spans="1:8" x14ac:dyDescent="0.2">
      <c r="A6" s="4">
        <v>2</v>
      </c>
      <c r="B6" s="4">
        <v>1057</v>
      </c>
      <c r="C6" s="4">
        <v>1000</v>
      </c>
      <c r="D6" s="4">
        <f t="shared" si="0"/>
        <v>1117249</v>
      </c>
      <c r="E6" s="4">
        <f t="shared" si="1"/>
        <v>1180932193</v>
      </c>
      <c r="F6" s="4">
        <f t="shared" si="2"/>
        <v>1248245328001</v>
      </c>
      <c r="G6" s="4">
        <f t="shared" si="3"/>
        <v>1057000</v>
      </c>
      <c r="H6" s="4">
        <f t="shared" si="4"/>
        <v>1117249000</v>
      </c>
    </row>
    <row r="7" spans="1:8" x14ac:dyDescent="0.2">
      <c r="A7" s="4">
        <v>3</v>
      </c>
      <c r="B7" s="4">
        <v>1105</v>
      </c>
      <c r="C7" s="4">
        <v>1000</v>
      </c>
      <c r="D7" s="4">
        <f t="shared" si="0"/>
        <v>1221025</v>
      </c>
      <c r="E7" s="4">
        <f t="shared" si="1"/>
        <v>1349232625</v>
      </c>
      <c r="F7" s="4">
        <f t="shared" si="2"/>
        <v>1490902050625</v>
      </c>
      <c r="G7" s="4">
        <f t="shared" si="3"/>
        <v>1105000</v>
      </c>
      <c r="H7" s="4">
        <f t="shared" si="4"/>
        <v>1221025000</v>
      </c>
    </row>
    <row r="8" spans="1:8" x14ac:dyDescent="0.2">
      <c r="A8" s="4">
        <v>4</v>
      </c>
      <c r="B8" s="4">
        <v>1078</v>
      </c>
      <c r="C8" s="4">
        <v>1000</v>
      </c>
      <c r="D8" s="4">
        <f t="shared" si="0"/>
        <v>1162084</v>
      </c>
      <c r="E8" s="4">
        <f t="shared" si="1"/>
        <v>1252726552</v>
      </c>
      <c r="F8" s="4">
        <f t="shared" si="2"/>
        <v>1350439223056</v>
      </c>
      <c r="G8" s="4">
        <f t="shared" si="3"/>
        <v>1078000</v>
      </c>
      <c r="H8" s="4">
        <f t="shared" si="4"/>
        <v>1162084000</v>
      </c>
    </row>
    <row r="9" spans="1:8" x14ac:dyDescent="0.2">
      <c r="A9" s="4">
        <v>5</v>
      </c>
      <c r="B9" s="4">
        <v>1097</v>
      </c>
      <c r="C9" s="4">
        <v>1000</v>
      </c>
      <c r="D9" s="4">
        <f t="shared" si="0"/>
        <v>1203409</v>
      </c>
      <c r="E9" s="4">
        <f t="shared" si="1"/>
        <v>1320139673</v>
      </c>
      <c r="F9" s="4">
        <f t="shared" si="2"/>
        <v>1448193221281</v>
      </c>
      <c r="G9" s="4">
        <f t="shared" si="3"/>
        <v>1097000</v>
      </c>
      <c r="H9" s="4">
        <f t="shared" si="4"/>
        <v>1203409000</v>
      </c>
    </row>
    <row r="10" spans="1:8" x14ac:dyDescent="0.2">
      <c r="A10" s="4">
        <v>6</v>
      </c>
      <c r="B10" s="4">
        <v>1101</v>
      </c>
      <c r="C10" s="4">
        <v>1000</v>
      </c>
      <c r="D10" s="4">
        <f t="shared" si="0"/>
        <v>1212201</v>
      </c>
      <c r="E10" s="4">
        <f t="shared" si="1"/>
        <v>1334633301</v>
      </c>
      <c r="F10" s="4">
        <f t="shared" si="2"/>
        <v>1469431264401</v>
      </c>
      <c r="G10" s="4">
        <f t="shared" si="3"/>
        <v>1101000</v>
      </c>
      <c r="H10" s="4">
        <f t="shared" si="4"/>
        <v>1212201000</v>
      </c>
    </row>
    <row r="11" spans="1:8" x14ac:dyDescent="0.2">
      <c r="A11" s="4">
        <v>7</v>
      </c>
      <c r="B11" s="4">
        <v>1092</v>
      </c>
      <c r="C11" s="4">
        <v>1000</v>
      </c>
      <c r="D11" s="4">
        <f t="shared" si="0"/>
        <v>1192464</v>
      </c>
      <c r="E11" s="4">
        <f t="shared" si="1"/>
        <v>1302170688</v>
      </c>
      <c r="F11" s="4">
        <f t="shared" si="2"/>
        <v>1421970391296</v>
      </c>
      <c r="G11" s="4">
        <f t="shared" si="3"/>
        <v>1092000</v>
      </c>
      <c r="H11" s="4">
        <f t="shared" si="4"/>
        <v>1192464000</v>
      </c>
    </row>
    <row r="12" spans="1:8" x14ac:dyDescent="0.2">
      <c r="A12" s="4">
        <v>8</v>
      </c>
      <c r="B12" s="4">
        <v>1078</v>
      </c>
      <c r="C12" s="4">
        <v>1000</v>
      </c>
      <c r="D12" s="4">
        <f t="shared" si="0"/>
        <v>1162084</v>
      </c>
      <c r="E12" s="4">
        <f t="shared" si="1"/>
        <v>1252726552</v>
      </c>
      <c r="F12" s="4">
        <f t="shared" si="2"/>
        <v>1350439223056</v>
      </c>
      <c r="G12" s="4">
        <f t="shared" si="3"/>
        <v>1078000</v>
      </c>
      <c r="H12" s="4">
        <f t="shared" si="4"/>
        <v>1162084000</v>
      </c>
    </row>
    <row r="13" spans="1:8" x14ac:dyDescent="0.2">
      <c r="A13" s="4">
        <v>9</v>
      </c>
      <c r="B13" s="4">
        <v>1105</v>
      </c>
      <c r="C13" s="4">
        <v>1000</v>
      </c>
      <c r="D13" s="4">
        <f t="shared" si="0"/>
        <v>1221025</v>
      </c>
      <c r="E13" s="4">
        <f t="shared" si="1"/>
        <v>1349232625</v>
      </c>
      <c r="F13" s="4">
        <f t="shared" si="2"/>
        <v>1490902050625</v>
      </c>
      <c r="G13" s="4">
        <f t="shared" si="3"/>
        <v>1105000</v>
      </c>
      <c r="H13" s="4">
        <f t="shared" si="4"/>
        <v>1221025000</v>
      </c>
    </row>
    <row r="14" spans="1:8" x14ac:dyDescent="0.2">
      <c r="A14" s="4">
        <v>10</v>
      </c>
      <c r="B14" s="4">
        <v>1125</v>
      </c>
      <c r="C14" s="4">
        <v>1000</v>
      </c>
      <c r="D14" s="4">
        <f t="shared" si="0"/>
        <v>1265625</v>
      </c>
      <c r="E14" s="4">
        <f t="shared" si="1"/>
        <v>1423828125</v>
      </c>
      <c r="F14" s="4">
        <f t="shared" si="2"/>
        <v>1601806640625</v>
      </c>
      <c r="G14" s="4">
        <f t="shared" si="3"/>
        <v>1125000</v>
      </c>
      <c r="H14" s="4">
        <f t="shared" si="4"/>
        <v>1265625000</v>
      </c>
    </row>
    <row r="15" spans="1:8" x14ac:dyDescent="0.2">
      <c r="A15" s="4">
        <v>11</v>
      </c>
      <c r="B15" s="4">
        <v>1073</v>
      </c>
      <c r="C15" s="4">
        <v>1000</v>
      </c>
      <c r="D15" s="4">
        <f t="shared" si="0"/>
        <v>1151329</v>
      </c>
      <c r="E15" s="4">
        <f t="shared" si="1"/>
        <v>1235376017</v>
      </c>
      <c r="F15" s="4">
        <f t="shared" si="2"/>
        <v>1325558466241</v>
      </c>
      <c r="G15" s="4">
        <f t="shared" si="3"/>
        <v>1073000</v>
      </c>
      <c r="H15" s="4">
        <f t="shared" si="4"/>
        <v>1151329000</v>
      </c>
    </row>
    <row r="16" spans="1:8" x14ac:dyDescent="0.2">
      <c r="A16" s="4">
        <v>12</v>
      </c>
      <c r="B16" s="4">
        <v>1064</v>
      </c>
      <c r="C16" s="4">
        <v>1000</v>
      </c>
      <c r="D16" s="4">
        <f t="shared" si="0"/>
        <v>1132096</v>
      </c>
      <c r="E16" s="4">
        <f t="shared" si="1"/>
        <v>1204550144</v>
      </c>
      <c r="F16" s="4">
        <f t="shared" si="2"/>
        <v>1281641353216</v>
      </c>
      <c r="G16" s="4">
        <f t="shared" si="3"/>
        <v>1064000</v>
      </c>
      <c r="H16" s="4">
        <f t="shared" si="4"/>
        <v>1132096000</v>
      </c>
    </row>
    <row r="17" spans="1:8" x14ac:dyDescent="0.2">
      <c r="A17" s="4">
        <v>13</v>
      </c>
      <c r="B17" s="4">
        <v>1063</v>
      </c>
      <c r="C17" s="4">
        <v>1000</v>
      </c>
      <c r="D17" s="4">
        <f t="shared" si="0"/>
        <v>1129969</v>
      </c>
      <c r="E17" s="4">
        <f t="shared" si="1"/>
        <v>1201157047</v>
      </c>
      <c r="F17" s="4">
        <f t="shared" si="2"/>
        <v>1276829940961</v>
      </c>
      <c r="G17" s="4">
        <f t="shared" si="3"/>
        <v>1063000</v>
      </c>
      <c r="H17" s="4">
        <f t="shared" si="4"/>
        <v>1129969000</v>
      </c>
    </row>
    <row r="18" spans="1:8" x14ac:dyDescent="0.2">
      <c r="A18" s="4">
        <v>14</v>
      </c>
      <c r="B18" s="4">
        <v>1073</v>
      </c>
      <c r="C18" s="4">
        <v>1000</v>
      </c>
      <c r="D18" s="4">
        <f t="shared" si="0"/>
        <v>1151329</v>
      </c>
      <c r="E18" s="4">
        <f t="shared" si="1"/>
        <v>1235376017</v>
      </c>
      <c r="F18" s="4">
        <f t="shared" si="2"/>
        <v>1325558466241</v>
      </c>
      <c r="G18" s="4">
        <f t="shared" si="3"/>
        <v>1073000</v>
      </c>
      <c r="H18" s="4">
        <f t="shared" si="4"/>
        <v>1151329000</v>
      </c>
    </row>
    <row r="19" spans="1:8" x14ac:dyDescent="0.2">
      <c r="A19" s="4">
        <v>15</v>
      </c>
      <c r="B19" s="4">
        <v>1079</v>
      </c>
      <c r="C19" s="4">
        <v>1000</v>
      </c>
      <c r="D19" s="4">
        <f t="shared" si="0"/>
        <v>1164241</v>
      </c>
      <c r="E19" s="4">
        <f t="shared" si="1"/>
        <v>1256216039</v>
      </c>
      <c r="F19" s="4">
        <f t="shared" si="2"/>
        <v>1355457106081</v>
      </c>
      <c r="G19" s="4">
        <f t="shared" si="3"/>
        <v>1079000</v>
      </c>
      <c r="H19" s="4">
        <f t="shared" si="4"/>
        <v>1164241000</v>
      </c>
    </row>
    <row r="20" spans="1:8" x14ac:dyDescent="0.2">
      <c r="A20" s="4">
        <v>16</v>
      </c>
      <c r="B20" s="4">
        <v>1064</v>
      </c>
      <c r="C20" s="4">
        <v>1000</v>
      </c>
      <c r="D20" s="4">
        <f t="shared" si="0"/>
        <v>1132096</v>
      </c>
      <c r="E20" s="4">
        <f t="shared" si="1"/>
        <v>1204550144</v>
      </c>
      <c r="F20" s="4">
        <f t="shared" si="2"/>
        <v>1281641353216</v>
      </c>
      <c r="G20" s="4">
        <f t="shared" si="3"/>
        <v>1064000</v>
      </c>
      <c r="H20" s="4">
        <f t="shared" si="4"/>
        <v>1132096000</v>
      </c>
    </row>
    <row r="21" spans="1:8" x14ac:dyDescent="0.2">
      <c r="A21" s="4">
        <v>17</v>
      </c>
      <c r="B21" s="4">
        <v>1098</v>
      </c>
      <c r="C21" s="4">
        <v>1000</v>
      </c>
      <c r="D21" s="4">
        <f t="shared" si="0"/>
        <v>1205604</v>
      </c>
      <c r="E21" s="4">
        <f t="shared" si="1"/>
        <v>1323753192</v>
      </c>
      <c r="F21" s="4">
        <f t="shared" si="2"/>
        <v>1453481004816</v>
      </c>
      <c r="G21" s="4">
        <f t="shared" si="3"/>
        <v>1098000</v>
      </c>
      <c r="H21" s="4">
        <f t="shared" si="4"/>
        <v>1205604000</v>
      </c>
    </row>
    <row r="22" spans="1:8" x14ac:dyDescent="0.2">
      <c r="A22" s="4">
        <v>18</v>
      </c>
      <c r="B22" s="4">
        <v>1078</v>
      </c>
      <c r="C22" s="4">
        <v>1000</v>
      </c>
      <c r="D22" s="4">
        <f t="shared" si="0"/>
        <v>1162084</v>
      </c>
      <c r="E22" s="4">
        <f t="shared" si="1"/>
        <v>1252726552</v>
      </c>
      <c r="F22" s="4">
        <f t="shared" si="2"/>
        <v>1350439223056</v>
      </c>
      <c r="G22" s="4">
        <f t="shared" si="3"/>
        <v>1078000</v>
      </c>
      <c r="H22" s="4">
        <f t="shared" si="4"/>
        <v>1162084000</v>
      </c>
    </row>
    <row r="23" spans="1:8" x14ac:dyDescent="0.2">
      <c r="A23" s="4">
        <v>19</v>
      </c>
      <c r="B23" s="4">
        <v>1085</v>
      </c>
      <c r="C23" s="4">
        <v>1000</v>
      </c>
      <c r="D23" s="4">
        <f t="shared" si="0"/>
        <v>1177225</v>
      </c>
      <c r="E23" s="4">
        <f t="shared" si="1"/>
        <v>1277289125</v>
      </c>
      <c r="F23" s="4">
        <f t="shared" si="2"/>
        <v>1385858700625</v>
      </c>
      <c r="G23" s="4">
        <f t="shared" si="3"/>
        <v>1085000</v>
      </c>
      <c r="H23" s="4">
        <f t="shared" si="4"/>
        <v>1177225000</v>
      </c>
    </row>
    <row r="24" spans="1:8" x14ac:dyDescent="0.2">
      <c r="A24" s="4">
        <v>20</v>
      </c>
      <c r="B24" s="4">
        <v>1148</v>
      </c>
      <c r="C24" s="4">
        <v>1000</v>
      </c>
      <c r="D24" s="4">
        <f t="shared" si="0"/>
        <v>1317904</v>
      </c>
      <c r="E24" s="4">
        <f t="shared" si="1"/>
        <v>1512953792</v>
      </c>
      <c r="F24" s="4">
        <f t="shared" si="2"/>
        <v>1736870953216</v>
      </c>
      <c r="G24" s="4">
        <f t="shared" si="3"/>
        <v>1148000</v>
      </c>
      <c r="H24" s="4">
        <f t="shared" si="4"/>
        <v>1317904000</v>
      </c>
    </row>
    <row r="25" spans="1:8" x14ac:dyDescent="0.2">
      <c r="A25" s="4">
        <v>21</v>
      </c>
      <c r="B25" s="4">
        <v>2187</v>
      </c>
      <c r="C25" s="4">
        <v>2000</v>
      </c>
      <c r="D25" s="4">
        <f t="shared" si="0"/>
        <v>4782969</v>
      </c>
      <c r="E25" s="4">
        <f t="shared" si="1"/>
        <v>10460353203</v>
      </c>
      <c r="F25" s="4">
        <f t="shared" si="2"/>
        <v>22876792454961</v>
      </c>
      <c r="G25" s="4">
        <f t="shared" si="3"/>
        <v>4374000</v>
      </c>
      <c r="H25" s="4">
        <f t="shared" si="4"/>
        <v>9565938000</v>
      </c>
    </row>
    <row r="26" spans="1:8" x14ac:dyDescent="0.2">
      <c r="A26" s="4">
        <v>22</v>
      </c>
      <c r="B26" s="4">
        <v>2189</v>
      </c>
      <c r="C26" s="4">
        <v>2000</v>
      </c>
      <c r="D26" s="4">
        <f t="shared" si="0"/>
        <v>4791721</v>
      </c>
      <c r="E26" s="4">
        <f t="shared" si="1"/>
        <v>10489077269</v>
      </c>
      <c r="F26" s="4">
        <f t="shared" si="2"/>
        <v>22960590141841</v>
      </c>
      <c r="G26" s="4">
        <f t="shared" si="3"/>
        <v>4378000</v>
      </c>
      <c r="H26" s="4">
        <f t="shared" si="4"/>
        <v>9583442000</v>
      </c>
    </row>
    <row r="27" spans="1:8" x14ac:dyDescent="0.2">
      <c r="A27" s="4">
        <v>23</v>
      </c>
      <c r="B27" s="4">
        <v>2186</v>
      </c>
      <c r="C27" s="4">
        <v>2000</v>
      </c>
      <c r="D27" s="4">
        <f t="shared" si="0"/>
        <v>4778596</v>
      </c>
      <c r="E27" s="4">
        <f t="shared" si="1"/>
        <v>10446010856</v>
      </c>
      <c r="F27" s="4">
        <f t="shared" si="2"/>
        <v>22834979731216</v>
      </c>
      <c r="G27" s="4">
        <f t="shared" si="3"/>
        <v>4372000</v>
      </c>
      <c r="H27" s="4">
        <f t="shared" si="4"/>
        <v>9557192000</v>
      </c>
    </row>
    <row r="28" spans="1:8" x14ac:dyDescent="0.2">
      <c r="A28" s="4">
        <v>24</v>
      </c>
      <c r="B28" s="4">
        <v>2186</v>
      </c>
      <c r="C28" s="4">
        <v>2000</v>
      </c>
      <c r="D28" s="4">
        <f t="shared" si="0"/>
        <v>4778596</v>
      </c>
      <c r="E28" s="4">
        <f t="shared" si="1"/>
        <v>10446010856</v>
      </c>
      <c r="F28" s="4">
        <f t="shared" si="2"/>
        <v>22834979731216</v>
      </c>
      <c r="G28" s="4">
        <f t="shared" si="3"/>
        <v>4372000</v>
      </c>
      <c r="H28" s="4">
        <f t="shared" si="4"/>
        <v>9557192000</v>
      </c>
    </row>
    <row r="29" spans="1:8" x14ac:dyDescent="0.2">
      <c r="A29" s="4">
        <v>25</v>
      </c>
      <c r="B29" s="4">
        <v>2187</v>
      </c>
      <c r="C29" s="4">
        <v>2000</v>
      </c>
      <c r="D29" s="4">
        <f t="shared" si="0"/>
        <v>4782969</v>
      </c>
      <c r="E29" s="4">
        <f t="shared" si="1"/>
        <v>10460353203</v>
      </c>
      <c r="F29" s="4">
        <f t="shared" si="2"/>
        <v>22876792454961</v>
      </c>
      <c r="G29" s="4">
        <f t="shared" si="3"/>
        <v>4374000</v>
      </c>
      <c r="H29" s="4">
        <f t="shared" si="4"/>
        <v>9565938000</v>
      </c>
    </row>
    <row r="30" spans="1:8" x14ac:dyDescent="0.2">
      <c r="A30" s="4">
        <v>26</v>
      </c>
      <c r="B30" s="4">
        <v>2190</v>
      </c>
      <c r="C30" s="4">
        <v>2000</v>
      </c>
      <c r="D30" s="4">
        <f t="shared" si="0"/>
        <v>4796100</v>
      </c>
      <c r="E30" s="4">
        <f t="shared" si="1"/>
        <v>10503459000</v>
      </c>
      <c r="F30" s="4">
        <f t="shared" si="2"/>
        <v>23002575210000</v>
      </c>
      <c r="G30" s="4">
        <f t="shared" si="3"/>
        <v>4380000</v>
      </c>
      <c r="H30" s="4">
        <f t="shared" si="4"/>
        <v>9592200000</v>
      </c>
    </row>
    <row r="31" spans="1:8" x14ac:dyDescent="0.2">
      <c r="A31" s="4">
        <v>27</v>
      </c>
      <c r="B31" s="4">
        <v>2191</v>
      </c>
      <c r="C31" s="4">
        <v>2000</v>
      </c>
      <c r="D31" s="4">
        <f t="shared" si="0"/>
        <v>4800481</v>
      </c>
      <c r="E31" s="4">
        <f t="shared" si="1"/>
        <v>10517853871</v>
      </c>
      <c r="F31" s="4">
        <f t="shared" si="2"/>
        <v>23044617831361</v>
      </c>
      <c r="G31" s="4">
        <f t="shared" si="3"/>
        <v>4382000</v>
      </c>
      <c r="H31" s="4">
        <f t="shared" si="4"/>
        <v>9600962000</v>
      </c>
    </row>
    <row r="32" spans="1:8" x14ac:dyDescent="0.2">
      <c r="A32" s="4">
        <v>28</v>
      </c>
      <c r="B32" s="4">
        <v>2190</v>
      </c>
      <c r="C32" s="4">
        <v>2000</v>
      </c>
      <c r="D32" s="4">
        <f t="shared" si="0"/>
        <v>4796100</v>
      </c>
      <c r="E32" s="4">
        <f t="shared" si="1"/>
        <v>10503459000</v>
      </c>
      <c r="F32" s="4">
        <f t="shared" si="2"/>
        <v>23002575210000</v>
      </c>
      <c r="G32" s="4">
        <f t="shared" si="3"/>
        <v>4380000</v>
      </c>
      <c r="H32" s="4">
        <f t="shared" si="4"/>
        <v>9592200000</v>
      </c>
    </row>
    <row r="33" spans="1:8" x14ac:dyDescent="0.2">
      <c r="A33" s="4">
        <v>29</v>
      </c>
      <c r="B33" s="4">
        <v>2190</v>
      </c>
      <c r="C33" s="4">
        <v>2000</v>
      </c>
      <c r="D33" s="4">
        <f t="shared" si="0"/>
        <v>4796100</v>
      </c>
      <c r="E33" s="4">
        <f t="shared" si="1"/>
        <v>10503459000</v>
      </c>
      <c r="F33" s="4">
        <f t="shared" si="2"/>
        <v>23002575210000</v>
      </c>
      <c r="G33" s="4">
        <f t="shared" si="3"/>
        <v>4380000</v>
      </c>
      <c r="H33" s="4">
        <f t="shared" si="4"/>
        <v>9592200000</v>
      </c>
    </row>
    <row r="34" spans="1:8" x14ac:dyDescent="0.2">
      <c r="A34" s="4">
        <v>30</v>
      </c>
      <c r="B34" s="4">
        <v>2189</v>
      </c>
      <c r="C34" s="4">
        <v>2000</v>
      </c>
      <c r="D34" s="4">
        <f t="shared" si="0"/>
        <v>4791721</v>
      </c>
      <c r="E34" s="4">
        <f t="shared" si="1"/>
        <v>10489077269</v>
      </c>
      <c r="F34" s="4">
        <f t="shared" si="2"/>
        <v>22960590141841</v>
      </c>
      <c r="G34" s="4">
        <f t="shared" si="3"/>
        <v>4378000</v>
      </c>
      <c r="H34" s="4">
        <f t="shared" si="4"/>
        <v>9583442000</v>
      </c>
    </row>
    <row r="35" spans="1:8" x14ac:dyDescent="0.2">
      <c r="A35" s="4">
        <v>31</v>
      </c>
      <c r="B35" s="4">
        <v>2190</v>
      </c>
      <c r="C35" s="4">
        <v>2000</v>
      </c>
      <c r="D35" s="4">
        <f t="shared" si="0"/>
        <v>4796100</v>
      </c>
      <c r="E35" s="4">
        <f t="shared" si="1"/>
        <v>10503459000</v>
      </c>
      <c r="F35" s="4">
        <f t="shared" si="2"/>
        <v>23002575210000</v>
      </c>
      <c r="G35" s="4">
        <f t="shared" si="3"/>
        <v>4380000</v>
      </c>
      <c r="H35" s="4">
        <f t="shared" si="4"/>
        <v>9592200000</v>
      </c>
    </row>
    <row r="36" spans="1:8" x14ac:dyDescent="0.2">
      <c r="A36" s="4">
        <v>32</v>
      </c>
      <c r="B36" s="4">
        <v>2191</v>
      </c>
      <c r="C36" s="4">
        <v>2000</v>
      </c>
      <c r="D36" s="4">
        <f t="shared" si="0"/>
        <v>4800481</v>
      </c>
      <c r="E36" s="4">
        <f t="shared" si="1"/>
        <v>10517853871</v>
      </c>
      <c r="F36" s="4">
        <f t="shared" si="2"/>
        <v>23044617831361</v>
      </c>
      <c r="G36" s="4">
        <f t="shared" si="3"/>
        <v>4382000</v>
      </c>
      <c r="H36" s="4">
        <f t="shared" si="4"/>
        <v>9600962000</v>
      </c>
    </row>
    <row r="37" spans="1:8" x14ac:dyDescent="0.2">
      <c r="A37" s="4">
        <v>33</v>
      </c>
      <c r="B37" s="4">
        <v>2189</v>
      </c>
      <c r="C37" s="4">
        <v>2000</v>
      </c>
      <c r="D37" s="4">
        <f t="shared" ref="D37:D64" si="5">B37^2</f>
        <v>4791721</v>
      </c>
      <c r="E37" s="4">
        <f t="shared" ref="E37:E64" si="6">B37^3</f>
        <v>10489077269</v>
      </c>
      <c r="F37" s="4">
        <f t="shared" ref="F37:F64" si="7">B37^4</f>
        <v>22960590141841</v>
      </c>
      <c r="G37" s="4">
        <f t="shared" ref="G37:G64" si="8">B37*C37</f>
        <v>4378000</v>
      </c>
      <c r="H37" s="4">
        <f t="shared" ref="H37:H64" si="9">D37*C37</f>
        <v>9583442000</v>
      </c>
    </row>
    <row r="38" spans="1:8" x14ac:dyDescent="0.2">
      <c r="A38" s="4">
        <v>34</v>
      </c>
      <c r="B38" s="4">
        <v>2190</v>
      </c>
      <c r="C38" s="4">
        <v>2000</v>
      </c>
      <c r="D38" s="4">
        <f t="shared" si="5"/>
        <v>4796100</v>
      </c>
      <c r="E38" s="4">
        <f t="shared" si="6"/>
        <v>10503459000</v>
      </c>
      <c r="F38" s="4">
        <f t="shared" si="7"/>
        <v>23002575210000</v>
      </c>
      <c r="G38" s="4">
        <f t="shared" si="8"/>
        <v>4380000</v>
      </c>
      <c r="H38" s="4">
        <f t="shared" si="9"/>
        <v>9592200000</v>
      </c>
    </row>
    <row r="39" spans="1:8" x14ac:dyDescent="0.2">
      <c r="A39" s="4">
        <v>35</v>
      </c>
      <c r="B39" s="4">
        <v>2187</v>
      </c>
      <c r="C39" s="4">
        <v>2000</v>
      </c>
      <c r="D39" s="4">
        <f t="shared" si="5"/>
        <v>4782969</v>
      </c>
      <c r="E39" s="4">
        <f t="shared" si="6"/>
        <v>10460353203</v>
      </c>
      <c r="F39" s="4">
        <f t="shared" si="7"/>
        <v>22876792454961</v>
      </c>
      <c r="G39" s="4">
        <f t="shared" si="8"/>
        <v>4374000</v>
      </c>
      <c r="H39" s="4">
        <f t="shared" si="9"/>
        <v>9565938000</v>
      </c>
    </row>
    <row r="40" spans="1:8" x14ac:dyDescent="0.2">
      <c r="A40" s="4">
        <v>36</v>
      </c>
      <c r="B40" s="4">
        <v>2188</v>
      </c>
      <c r="C40" s="4">
        <v>2000</v>
      </c>
      <c r="D40" s="4">
        <f t="shared" si="5"/>
        <v>4787344</v>
      </c>
      <c r="E40" s="4">
        <f t="shared" si="6"/>
        <v>10474708672</v>
      </c>
      <c r="F40" s="4">
        <f t="shared" si="7"/>
        <v>22918662574336</v>
      </c>
      <c r="G40" s="4">
        <f t="shared" si="8"/>
        <v>4376000</v>
      </c>
      <c r="H40" s="4">
        <f t="shared" si="9"/>
        <v>9574688000</v>
      </c>
    </row>
    <row r="41" spans="1:8" x14ac:dyDescent="0.2">
      <c r="A41" s="4">
        <v>37</v>
      </c>
      <c r="B41" s="4">
        <v>2192</v>
      </c>
      <c r="C41" s="4">
        <v>2000</v>
      </c>
      <c r="D41" s="4">
        <f t="shared" si="5"/>
        <v>4804864</v>
      </c>
      <c r="E41" s="4">
        <f t="shared" si="6"/>
        <v>10532261888</v>
      </c>
      <c r="F41" s="4">
        <f t="shared" si="7"/>
        <v>23086718058496</v>
      </c>
      <c r="G41" s="4">
        <f t="shared" si="8"/>
        <v>4384000</v>
      </c>
      <c r="H41" s="4">
        <f t="shared" si="9"/>
        <v>9609728000</v>
      </c>
    </row>
    <row r="42" spans="1:8" x14ac:dyDescent="0.2">
      <c r="A42" s="4">
        <v>38</v>
      </c>
      <c r="B42" s="4">
        <v>2184</v>
      </c>
      <c r="C42" s="4">
        <v>2000</v>
      </c>
      <c r="D42" s="4">
        <f t="shared" si="5"/>
        <v>4769856</v>
      </c>
      <c r="E42" s="4">
        <f t="shared" si="6"/>
        <v>10417365504</v>
      </c>
      <c r="F42" s="4">
        <f t="shared" si="7"/>
        <v>22751526260736</v>
      </c>
      <c r="G42" s="4">
        <f t="shared" si="8"/>
        <v>4368000</v>
      </c>
      <c r="H42" s="4">
        <f t="shared" si="9"/>
        <v>9539712000</v>
      </c>
    </row>
    <row r="43" spans="1:8" x14ac:dyDescent="0.2">
      <c r="A43" s="4">
        <v>39</v>
      </c>
      <c r="B43" s="4">
        <v>2185</v>
      </c>
      <c r="C43" s="4">
        <v>2000</v>
      </c>
      <c r="D43" s="4">
        <f t="shared" si="5"/>
        <v>4774225</v>
      </c>
      <c r="E43" s="4">
        <f t="shared" si="6"/>
        <v>10431681625</v>
      </c>
      <c r="F43" s="4">
        <f t="shared" si="7"/>
        <v>22793224350625</v>
      </c>
      <c r="G43" s="4">
        <f t="shared" si="8"/>
        <v>4370000</v>
      </c>
      <c r="H43" s="4">
        <f t="shared" si="9"/>
        <v>9548450000</v>
      </c>
    </row>
    <row r="44" spans="1:8" x14ac:dyDescent="0.2">
      <c r="A44" s="4">
        <v>40</v>
      </c>
      <c r="B44" s="4">
        <v>2186</v>
      </c>
      <c r="C44" s="4">
        <v>2000</v>
      </c>
      <c r="D44" s="4">
        <f t="shared" si="5"/>
        <v>4778596</v>
      </c>
      <c r="E44" s="4">
        <f t="shared" si="6"/>
        <v>10446010856</v>
      </c>
      <c r="F44" s="4">
        <f t="shared" si="7"/>
        <v>22834979731216</v>
      </c>
      <c r="G44" s="4">
        <f t="shared" si="8"/>
        <v>4372000</v>
      </c>
      <c r="H44" s="4">
        <f t="shared" si="9"/>
        <v>9557192000</v>
      </c>
    </row>
    <row r="45" spans="1:8" x14ac:dyDescent="0.2">
      <c r="A45" s="4">
        <v>41</v>
      </c>
      <c r="B45" s="4">
        <v>2917</v>
      </c>
      <c r="C45" s="4">
        <v>3000</v>
      </c>
      <c r="D45" s="4">
        <f t="shared" si="5"/>
        <v>8508889</v>
      </c>
      <c r="E45" s="4">
        <f t="shared" si="6"/>
        <v>24820429213</v>
      </c>
      <c r="F45" s="4">
        <f t="shared" si="7"/>
        <v>72401192014321</v>
      </c>
      <c r="G45" s="4">
        <f t="shared" si="8"/>
        <v>8751000</v>
      </c>
      <c r="H45" s="4">
        <f t="shared" si="9"/>
        <v>25526667000</v>
      </c>
    </row>
    <row r="46" spans="1:8" x14ac:dyDescent="0.2">
      <c r="A46" s="4">
        <v>42</v>
      </c>
      <c r="B46" s="4">
        <v>2917</v>
      </c>
      <c r="C46" s="4">
        <v>3000</v>
      </c>
      <c r="D46" s="4">
        <f t="shared" si="5"/>
        <v>8508889</v>
      </c>
      <c r="E46" s="4">
        <f t="shared" si="6"/>
        <v>24820429213</v>
      </c>
      <c r="F46" s="4">
        <f t="shared" si="7"/>
        <v>72401192014321</v>
      </c>
      <c r="G46" s="4">
        <f t="shared" si="8"/>
        <v>8751000</v>
      </c>
      <c r="H46" s="4">
        <f t="shared" si="9"/>
        <v>25526667000</v>
      </c>
    </row>
    <row r="47" spans="1:8" x14ac:dyDescent="0.2">
      <c r="A47" s="4">
        <v>43</v>
      </c>
      <c r="B47" s="4">
        <v>2918</v>
      </c>
      <c r="C47" s="4">
        <v>3000</v>
      </c>
      <c r="D47" s="4">
        <f t="shared" si="5"/>
        <v>8514724</v>
      </c>
      <c r="E47" s="4">
        <f t="shared" si="6"/>
        <v>24845964632</v>
      </c>
      <c r="F47" s="4">
        <f t="shared" si="7"/>
        <v>72500524796176</v>
      </c>
      <c r="G47" s="4">
        <f t="shared" si="8"/>
        <v>8754000</v>
      </c>
      <c r="H47" s="4">
        <f t="shared" si="9"/>
        <v>25544172000</v>
      </c>
    </row>
    <row r="48" spans="1:8" x14ac:dyDescent="0.2">
      <c r="A48" s="4">
        <v>44</v>
      </c>
      <c r="B48" s="4">
        <v>2917</v>
      </c>
      <c r="C48" s="4">
        <v>3000</v>
      </c>
      <c r="D48" s="4">
        <f t="shared" si="5"/>
        <v>8508889</v>
      </c>
      <c r="E48" s="4">
        <f t="shared" si="6"/>
        <v>24820429213</v>
      </c>
      <c r="F48" s="4">
        <f t="shared" si="7"/>
        <v>72401192014321</v>
      </c>
      <c r="G48" s="4">
        <f t="shared" si="8"/>
        <v>8751000</v>
      </c>
      <c r="H48" s="4">
        <f t="shared" si="9"/>
        <v>25526667000</v>
      </c>
    </row>
    <row r="49" spans="1:8" x14ac:dyDescent="0.2">
      <c r="A49" s="4">
        <v>45</v>
      </c>
      <c r="B49" s="4">
        <v>2917</v>
      </c>
      <c r="C49" s="4">
        <v>3000</v>
      </c>
      <c r="D49" s="4">
        <f t="shared" si="5"/>
        <v>8508889</v>
      </c>
      <c r="E49" s="4">
        <f t="shared" si="6"/>
        <v>24820429213</v>
      </c>
      <c r="F49" s="4">
        <f t="shared" si="7"/>
        <v>72401192014321</v>
      </c>
      <c r="G49" s="4">
        <f t="shared" si="8"/>
        <v>8751000</v>
      </c>
      <c r="H49" s="4">
        <f t="shared" si="9"/>
        <v>25526667000</v>
      </c>
    </row>
    <row r="50" spans="1:8" x14ac:dyDescent="0.2">
      <c r="A50" s="4">
        <v>46</v>
      </c>
      <c r="B50" s="4">
        <v>2917</v>
      </c>
      <c r="C50" s="4">
        <v>3000</v>
      </c>
      <c r="D50" s="4">
        <f t="shared" si="5"/>
        <v>8508889</v>
      </c>
      <c r="E50" s="4">
        <f t="shared" si="6"/>
        <v>24820429213</v>
      </c>
      <c r="F50" s="4">
        <f t="shared" si="7"/>
        <v>72401192014321</v>
      </c>
      <c r="G50" s="4">
        <f t="shared" si="8"/>
        <v>8751000</v>
      </c>
      <c r="H50" s="4">
        <f t="shared" si="9"/>
        <v>25526667000</v>
      </c>
    </row>
    <row r="51" spans="1:8" x14ac:dyDescent="0.2">
      <c r="A51" s="4">
        <v>47</v>
      </c>
      <c r="B51" s="4">
        <v>2917</v>
      </c>
      <c r="C51" s="4">
        <v>3000</v>
      </c>
      <c r="D51" s="4">
        <f t="shared" si="5"/>
        <v>8508889</v>
      </c>
      <c r="E51" s="4">
        <f t="shared" si="6"/>
        <v>24820429213</v>
      </c>
      <c r="F51" s="4">
        <f t="shared" si="7"/>
        <v>72401192014321</v>
      </c>
      <c r="G51" s="4">
        <f t="shared" si="8"/>
        <v>8751000</v>
      </c>
      <c r="H51" s="4">
        <f t="shared" si="9"/>
        <v>25526667000</v>
      </c>
    </row>
    <row r="52" spans="1:8" x14ac:dyDescent="0.2">
      <c r="A52" s="4">
        <v>48</v>
      </c>
      <c r="B52" s="4">
        <v>2917</v>
      </c>
      <c r="C52" s="4">
        <v>3000</v>
      </c>
      <c r="D52" s="4">
        <f t="shared" si="5"/>
        <v>8508889</v>
      </c>
      <c r="E52" s="4">
        <f t="shared" si="6"/>
        <v>24820429213</v>
      </c>
      <c r="F52" s="4">
        <f t="shared" si="7"/>
        <v>72401192014321</v>
      </c>
      <c r="G52" s="4">
        <f t="shared" si="8"/>
        <v>8751000</v>
      </c>
      <c r="H52" s="4">
        <f t="shared" si="9"/>
        <v>25526667000</v>
      </c>
    </row>
    <row r="53" spans="1:8" x14ac:dyDescent="0.2">
      <c r="A53" s="4">
        <v>49</v>
      </c>
      <c r="B53" s="4">
        <v>2917</v>
      </c>
      <c r="C53" s="4">
        <v>3000</v>
      </c>
      <c r="D53" s="4">
        <f t="shared" si="5"/>
        <v>8508889</v>
      </c>
      <c r="E53" s="4">
        <f t="shared" si="6"/>
        <v>24820429213</v>
      </c>
      <c r="F53" s="4">
        <f t="shared" si="7"/>
        <v>72401192014321</v>
      </c>
      <c r="G53" s="4">
        <f t="shared" si="8"/>
        <v>8751000</v>
      </c>
      <c r="H53" s="4">
        <f t="shared" si="9"/>
        <v>25526667000</v>
      </c>
    </row>
    <row r="54" spans="1:8" x14ac:dyDescent="0.2">
      <c r="A54" s="4">
        <v>50</v>
      </c>
      <c r="B54" s="4">
        <v>2917</v>
      </c>
      <c r="C54" s="4">
        <v>3000</v>
      </c>
      <c r="D54" s="4">
        <f t="shared" si="5"/>
        <v>8508889</v>
      </c>
      <c r="E54" s="4">
        <f t="shared" si="6"/>
        <v>24820429213</v>
      </c>
      <c r="F54" s="4">
        <f t="shared" si="7"/>
        <v>72401192014321</v>
      </c>
      <c r="G54" s="4">
        <f t="shared" si="8"/>
        <v>8751000</v>
      </c>
      <c r="H54" s="4">
        <f t="shared" si="9"/>
        <v>25526667000</v>
      </c>
    </row>
    <row r="55" spans="1:8" x14ac:dyDescent="0.2">
      <c r="A55" s="4">
        <v>51</v>
      </c>
      <c r="B55" s="4">
        <v>2917</v>
      </c>
      <c r="C55" s="4">
        <v>3000</v>
      </c>
      <c r="D55" s="4">
        <f t="shared" si="5"/>
        <v>8508889</v>
      </c>
      <c r="E55" s="4">
        <f t="shared" si="6"/>
        <v>24820429213</v>
      </c>
      <c r="F55" s="4">
        <f t="shared" si="7"/>
        <v>72401192014321</v>
      </c>
      <c r="G55" s="4">
        <f t="shared" si="8"/>
        <v>8751000</v>
      </c>
      <c r="H55" s="4">
        <f t="shared" si="9"/>
        <v>25526667000</v>
      </c>
    </row>
    <row r="56" spans="1:8" x14ac:dyDescent="0.2">
      <c r="A56" s="4">
        <v>52</v>
      </c>
      <c r="B56" s="4">
        <v>2917</v>
      </c>
      <c r="C56" s="4">
        <v>3000</v>
      </c>
      <c r="D56" s="4">
        <f t="shared" si="5"/>
        <v>8508889</v>
      </c>
      <c r="E56" s="4">
        <f t="shared" si="6"/>
        <v>24820429213</v>
      </c>
      <c r="F56" s="4">
        <f t="shared" si="7"/>
        <v>72401192014321</v>
      </c>
      <c r="G56" s="4">
        <f t="shared" si="8"/>
        <v>8751000</v>
      </c>
      <c r="H56" s="4">
        <f t="shared" si="9"/>
        <v>25526667000</v>
      </c>
    </row>
    <row r="57" spans="1:8" x14ac:dyDescent="0.2">
      <c r="A57" s="4">
        <v>53</v>
      </c>
      <c r="B57" s="4">
        <v>2917</v>
      </c>
      <c r="C57" s="4">
        <v>3000</v>
      </c>
      <c r="D57" s="4">
        <f t="shared" si="5"/>
        <v>8508889</v>
      </c>
      <c r="E57" s="4">
        <f t="shared" si="6"/>
        <v>24820429213</v>
      </c>
      <c r="F57" s="4">
        <f t="shared" si="7"/>
        <v>72401192014321</v>
      </c>
      <c r="G57" s="4">
        <f t="shared" si="8"/>
        <v>8751000</v>
      </c>
      <c r="H57" s="4">
        <f t="shared" si="9"/>
        <v>25526667000</v>
      </c>
    </row>
    <row r="58" spans="1:8" x14ac:dyDescent="0.2">
      <c r="A58" s="4">
        <v>54</v>
      </c>
      <c r="B58" s="4">
        <v>2917</v>
      </c>
      <c r="C58" s="4">
        <v>3000</v>
      </c>
      <c r="D58" s="4">
        <f t="shared" si="5"/>
        <v>8508889</v>
      </c>
      <c r="E58" s="4">
        <f t="shared" si="6"/>
        <v>24820429213</v>
      </c>
      <c r="F58" s="4">
        <f t="shared" si="7"/>
        <v>72401192014321</v>
      </c>
      <c r="G58" s="4">
        <f t="shared" si="8"/>
        <v>8751000</v>
      </c>
      <c r="H58" s="4">
        <f t="shared" si="9"/>
        <v>25526667000</v>
      </c>
    </row>
    <row r="59" spans="1:8" x14ac:dyDescent="0.2">
      <c r="A59" s="4">
        <v>55</v>
      </c>
      <c r="B59" s="4">
        <v>2917</v>
      </c>
      <c r="C59" s="4">
        <v>3000</v>
      </c>
      <c r="D59" s="4">
        <f t="shared" si="5"/>
        <v>8508889</v>
      </c>
      <c r="E59" s="4">
        <f t="shared" si="6"/>
        <v>24820429213</v>
      </c>
      <c r="F59" s="4">
        <f t="shared" si="7"/>
        <v>72401192014321</v>
      </c>
      <c r="G59" s="4">
        <f t="shared" si="8"/>
        <v>8751000</v>
      </c>
      <c r="H59" s="4">
        <f t="shared" si="9"/>
        <v>25526667000</v>
      </c>
    </row>
    <row r="60" spans="1:8" x14ac:dyDescent="0.2">
      <c r="A60" s="4">
        <v>56</v>
      </c>
      <c r="B60" s="4">
        <v>2917</v>
      </c>
      <c r="C60" s="4">
        <v>3000</v>
      </c>
      <c r="D60" s="4">
        <f t="shared" si="5"/>
        <v>8508889</v>
      </c>
      <c r="E60" s="4">
        <f t="shared" si="6"/>
        <v>24820429213</v>
      </c>
      <c r="F60" s="4">
        <f t="shared" si="7"/>
        <v>72401192014321</v>
      </c>
      <c r="G60" s="4">
        <f t="shared" si="8"/>
        <v>8751000</v>
      </c>
      <c r="H60" s="4">
        <f t="shared" si="9"/>
        <v>25526667000</v>
      </c>
    </row>
    <row r="61" spans="1:8" x14ac:dyDescent="0.2">
      <c r="A61" s="4">
        <v>57</v>
      </c>
      <c r="B61" s="4">
        <v>2917</v>
      </c>
      <c r="C61" s="4">
        <v>3000</v>
      </c>
      <c r="D61" s="4">
        <f t="shared" si="5"/>
        <v>8508889</v>
      </c>
      <c r="E61" s="4">
        <f t="shared" si="6"/>
        <v>24820429213</v>
      </c>
      <c r="F61" s="4">
        <f t="shared" si="7"/>
        <v>72401192014321</v>
      </c>
      <c r="G61" s="4">
        <f t="shared" si="8"/>
        <v>8751000</v>
      </c>
      <c r="H61" s="4">
        <f t="shared" si="9"/>
        <v>25526667000</v>
      </c>
    </row>
    <row r="62" spans="1:8" x14ac:dyDescent="0.2">
      <c r="A62" s="4">
        <v>58</v>
      </c>
      <c r="B62" s="4">
        <v>2917</v>
      </c>
      <c r="C62" s="4">
        <v>3000</v>
      </c>
      <c r="D62" s="4">
        <f t="shared" si="5"/>
        <v>8508889</v>
      </c>
      <c r="E62" s="4">
        <f t="shared" si="6"/>
        <v>24820429213</v>
      </c>
      <c r="F62" s="4">
        <f t="shared" si="7"/>
        <v>72401192014321</v>
      </c>
      <c r="G62" s="4">
        <f t="shared" si="8"/>
        <v>8751000</v>
      </c>
      <c r="H62" s="4">
        <f t="shared" si="9"/>
        <v>25526667000</v>
      </c>
    </row>
    <row r="63" spans="1:8" x14ac:dyDescent="0.2">
      <c r="A63" s="4">
        <v>59</v>
      </c>
      <c r="B63" s="4">
        <v>2917</v>
      </c>
      <c r="C63" s="4">
        <v>3000</v>
      </c>
      <c r="D63" s="4">
        <f t="shared" si="5"/>
        <v>8508889</v>
      </c>
      <c r="E63" s="4">
        <f t="shared" si="6"/>
        <v>24820429213</v>
      </c>
      <c r="F63" s="4">
        <f t="shared" si="7"/>
        <v>72401192014321</v>
      </c>
      <c r="G63" s="4">
        <f t="shared" si="8"/>
        <v>8751000</v>
      </c>
      <c r="H63" s="4">
        <f t="shared" si="9"/>
        <v>25526667000</v>
      </c>
    </row>
    <row r="64" spans="1:8" x14ac:dyDescent="0.2">
      <c r="A64" s="4">
        <v>60</v>
      </c>
      <c r="B64" s="4">
        <v>2917</v>
      </c>
      <c r="C64" s="4">
        <v>3000</v>
      </c>
      <c r="D64" s="4">
        <f t="shared" si="5"/>
        <v>8508889</v>
      </c>
      <c r="E64" s="4">
        <f t="shared" si="6"/>
        <v>24820429213</v>
      </c>
      <c r="F64" s="4">
        <f t="shared" si="7"/>
        <v>72401192014321</v>
      </c>
      <c r="G64" s="4">
        <f t="shared" si="8"/>
        <v>8751000</v>
      </c>
      <c r="H64" s="4">
        <f t="shared" si="9"/>
        <v>25526667000</v>
      </c>
    </row>
    <row r="65" spans="1:8" x14ac:dyDescent="0.2">
      <c r="A65" s="7" t="s">
        <v>16</v>
      </c>
      <c r="B65" s="7">
        <f t="shared" ref="B65:H65" si="10">SUM(B5:B64)</f>
        <v>123827</v>
      </c>
      <c r="C65" s="7">
        <f t="shared" si="10"/>
        <v>120000</v>
      </c>
      <c r="D65" s="7">
        <f t="shared" si="10"/>
        <v>289557403</v>
      </c>
      <c r="E65" s="7">
        <f t="shared" si="10"/>
        <v>731676618113</v>
      </c>
      <c r="F65" s="7">
        <f t="shared" si="10"/>
        <v>1934681697268375</v>
      </c>
      <c r="G65" s="7">
        <f t="shared" si="10"/>
        <v>284276000</v>
      </c>
      <c r="H65" s="7">
        <f t="shared" si="10"/>
        <v>725702242000</v>
      </c>
    </row>
    <row r="68" spans="1:8" x14ac:dyDescent="0.2">
      <c r="A68" s="6" t="s">
        <v>17</v>
      </c>
    </row>
    <row r="69" spans="1:8" x14ac:dyDescent="0.2">
      <c r="A69" s="6" t="s">
        <v>18</v>
      </c>
      <c r="B69">
        <f>((B2*G65)-(B65*C65)) / ((B2*D65)-(B65^2))</f>
        <v>1.0769496371083533</v>
      </c>
    </row>
    <row r="70" spans="1:8" x14ac:dyDescent="0.2">
      <c r="A70" s="6" t="s">
        <v>19</v>
      </c>
      <c r="B70">
        <f>(C65-B69*B65)/B2</f>
        <v>-222.59071190360117</v>
      </c>
    </row>
    <row r="73" spans="1:8" x14ac:dyDescent="0.2">
      <c r="A73" s="6" t="s">
        <v>20</v>
      </c>
    </row>
    <row r="74" spans="1:8" x14ac:dyDescent="0.2">
      <c r="A74" s="6" t="s">
        <v>21</v>
      </c>
    </row>
    <row r="75" spans="1:8" x14ac:dyDescent="0.2">
      <c r="B75" s="8" t="s">
        <v>7</v>
      </c>
      <c r="C75" s="8" t="s">
        <v>22</v>
      </c>
      <c r="D75" s="8" t="s">
        <v>23</v>
      </c>
      <c r="F75" s="6" t="s">
        <v>24</v>
      </c>
    </row>
    <row r="76" spans="1:8" x14ac:dyDescent="0.2">
      <c r="A76" t="s">
        <v>25</v>
      </c>
      <c r="B76">
        <f>B2</f>
        <v>60</v>
      </c>
      <c r="C76">
        <f>B65</f>
        <v>123827</v>
      </c>
      <c r="D76">
        <f>D65</f>
        <v>289557403</v>
      </c>
      <c r="F76">
        <f>C65</f>
        <v>120000</v>
      </c>
    </row>
    <row r="77" spans="1:8" x14ac:dyDescent="0.2">
      <c r="A77" t="s">
        <v>26</v>
      </c>
      <c r="B77">
        <f>B65</f>
        <v>123827</v>
      </c>
      <c r="C77">
        <f>D65</f>
        <v>289557403</v>
      </c>
      <c r="D77">
        <f>E65</f>
        <v>731676618113</v>
      </c>
      <c r="F77">
        <f>G65</f>
        <v>284276000</v>
      </c>
    </row>
    <row r="78" spans="1:8" x14ac:dyDescent="0.2">
      <c r="A78" t="s">
        <v>27</v>
      </c>
      <c r="B78">
        <f>D65</f>
        <v>289557403</v>
      </c>
      <c r="C78">
        <f>E65</f>
        <v>731676618113</v>
      </c>
      <c r="D78">
        <f>F65</f>
        <v>1934681697268375</v>
      </c>
      <c r="F78">
        <f>H65</f>
        <v>725702242000</v>
      </c>
    </row>
    <row r="80" spans="1:8" x14ac:dyDescent="0.2">
      <c r="A80" s="6" t="s">
        <v>28</v>
      </c>
    </row>
    <row r="81" spans="1:2" x14ac:dyDescent="0.2">
      <c r="A81" s="6" t="s">
        <v>29</v>
      </c>
      <c r="B81">
        <f>INDEX(MMULT(MINVERSE(B76:D78),F76:F78),1,1)</f>
        <v>623.12179747078335</v>
      </c>
    </row>
    <row r="82" spans="1:2" x14ac:dyDescent="0.2">
      <c r="A82" s="6" t="s">
        <v>30</v>
      </c>
      <c r="B82">
        <f>INDEX(MMULT(MINVERSE(B76:D78),F76:F78),2,1)</f>
        <v>7.0081991540575928E-2</v>
      </c>
    </row>
    <row r="83" spans="1:2" x14ac:dyDescent="0.2">
      <c r="A83" s="6" t="s">
        <v>31</v>
      </c>
      <c r="B83">
        <f>INDEX(MMULT(MINVERSE(B76:D78),F76:F78),3,1)</f>
        <v>2.5533676092975854E-4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36</v>
      </c>
    </row>
    <row r="2" spans="1:8" x14ac:dyDescent="0.2">
      <c r="A2" s="6" t="s">
        <v>7</v>
      </c>
      <c r="B2">
        <v>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7" t="s">
        <v>16</v>
      </c>
      <c r="B5" s="7" t="str">
        <f t="shared" ref="B5:H5" ca="1" si="0">SUM(B4:B5)</f>
        <v/>
      </c>
      <c r="C5" s="7" t="str">
        <f t="shared" ca="1" si="0"/>
        <v/>
      </c>
      <c r="D5" s="7" t="str">
        <f t="shared" ca="1" si="0"/>
        <v/>
      </c>
      <c r="E5" s="7" t="str">
        <f t="shared" ca="1" si="0"/>
        <v/>
      </c>
      <c r="F5" s="7" t="str">
        <f t="shared" ca="1" si="0"/>
        <v/>
      </c>
      <c r="G5" s="7" t="str">
        <f t="shared" ca="1" si="0"/>
        <v/>
      </c>
      <c r="H5" s="7" t="str">
        <f t="shared" ca="1" si="0"/>
        <v/>
      </c>
    </row>
    <row r="8" spans="1:8" x14ac:dyDescent="0.2">
      <c r="A8" s="6" t="s">
        <v>17</v>
      </c>
    </row>
    <row r="9" spans="1:8" x14ac:dyDescent="0.2">
      <c r="A9" s="6" t="s">
        <v>18</v>
      </c>
      <c r="B9" t="str">
        <f ca="1">((B2*G5)-(B5*C5)) / ((B2*D5)-(B5^2))</f>
        <v/>
      </c>
    </row>
    <row r="10" spans="1:8" x14ac:dyDescent="0.2">
      <c r="A10" s="6" t="s">
        <v>19</v>
      </c>
      <c r="B10" t="str">
        <f ca="1">(C5-B9*B5)/B2</f>
        <v/>
      </c>
    </row>
    <row r="13" spans="1:8" x14ac:dyDescent="0.2">
      <c r="A13" s="6" t="s">
        <v>20</v>
      </c>
    </row>
    <row r="14" spans="1:8" x14ac:dyDescent="0.2">
      <c r="A14" s="6" t="s">
        <v>21</v>
      </c>
    </row>
    <row r="15" spans="1:8" x14ac:dyDescent="0.2">
      <c r="B15" s="8" t="s">
        <v>7</v>
      </c>
      <c r="C15" s="8" t="s">
        <v>22</v>
      </c>
      <c r="D15" s="8" t="s">
        <v>23</v>
      </c>
      <c r="F15" s="6" t="s">
        <v>24</v>
      </c>
    </row>
    <row r="16" spans="1:8" x14ac:dyDescent="0.2">
      <c r="A16" t="s">
        <v>25</v>
      </c>
      <c r="B16">
        <f>B2</f>
        <v>0</v>
      </c>
      <c r="C16" t="str">
        <f ca="1">B5</f>
        <v/>
      </c>
      <c r="D16" t="str">
        <f ca="1">D5</f>
        <v/>
      </c>
      <c r="F16" t="str">
        <f ca="1">C5</f>
        <v/>
      </c>
    </row>
    <row r="17" spans="1:6" x14ac:dyDescent="0.2">
      <c r="A17" t="s">
        <v>26</v>
      </c>
      <c r="B17" t="str">
        <f ca="1">B5</f>
        <v/>
      </c>
      <c r="C17" t="str">
        <f ca="1">D5</f>
        <v/>
      </c>
      <c r="D17" t="str">
        <f ca="1">E5</f>
        <v/>
      </c>
      <c r="F17" t="str">
        <f ca="1">G5</f>
        <v/>
      </c>
    </row>
    <row r="18" spans="1:6" x14ac:dyDescent="0.2">
      <c r="A18" t="s">
        <v>27</v>
      </c>
      <c r="B18" t="str">
        <f ca="1">D5</f>
        <v/>
      </c>
      <c r="C18" t="str">
        <f ca="1">E5</f>
        <v/>
      </c>
      <c r="D18" t="str">
        <f ca="1">F5</f>
        <v/>
      </c>
      <c r="F18" t="str">
        <f ca="1">H5</f>
        <v/>
      </c>
    </row>
    <row r="20" spans="1:6" x14ac:dyDescent="0.2">
      <c r="A20" s="6" t="s">
        <v>28</v>
      </c>
    </row>
    <row r="21" spans="1:6" x14ac:dyDescent="0.2">
      <c r="A21" s="6" t="s">
        <v>29</v>
      </c>
      <c r="B21" t="str">
        <f ca="1">INDEX(MMULT(MINVERSE(B16:D18),F16:F18),1,1)</f>
        <v/>
      </c>
    </row>
    <row r="22" spans="1:6" x14ac:dyDescent="0.2">
      <c r="A22" s="6" t="s">
        <v>30</v>
      </c>
      <c r="B22" t="str">
        <f ca="1">INDEX(MMULT(MINVERSE(B16:D18),F16:F18),2,1)</f>
        <v/>
      </c>
    </row>
    <row r="23" spans="1:6" x14ac:dyDescent="0.2">
      <c r="A23" s="6" t="s">
        <v>31</v>
      </c>
      <c r="B23" t="str">
        <f ca="1">INDEX(MMULT(MINVERSE(B16:D18),F16:F18),3,1)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37</v>
      </c>
    </row>
    <row r="2" spans="1:8" x14ac:dyDescent="0.2">
      <c r="A2" s="6" t="s">
        <v>7</v>
      </c>
      <c r="B2">
        <v>50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38</v>
      </c>
      <c r="C5" s="4">
        <v>10</v>
      </c>
      <c r="D5" s="4">
        <f t="shared" ref="D5:D36" si="0">B5^2</f>
        <v>1444</v>
      </c>
      <c r="E5" s="4">
        <f t="shared" ref="E5:E36" si="1">B5^3</f>
        <v>54872</v>
      </c>
      <c r="F5" s="4">
        <f t="shared" ref="F5:F36" si="2">B5^4</f>
        <v>2085136</v>
      </c>
      <c r="G5" s="4">
        <f t="shared" ref="G5:G36" si="3">B5*C5</f>
        <v>380</v>
      </c>
      <c r="H5" s="4">
        <f t="shared" ref="H5:H36" si="4">D5*C5</f>
        <v>14440</v>
      </c>
    </row>
    <row r="6" spans="1:8" x14ac:dyDescent="0.2">
      <c r="A6" s="4">
        <v>2</v>
      </c>
      <c r="B6" s="4">
        <v>37</v>
      </c>
      <c r="C6" s="4">
        <v>10</v>
      </c>
      <c r="D6" s="4">
        <f t="shared" si="0"/>
        <v>1369</v>
      </c>
      <c r="E6" s="4">
        <f t="shared" si="1"/>
        <v>50653</v>
      </c>
      <c r="F6" s="4">
        <f t="shared" si="2"/>
        <v>1874161</v>
      </c>
      <c r="G6" s="4">
        <f t="shared" si="3"/>
        <v>370</v>
      </c>
      <c r="H6" s="4">
        <f t="shared" si="4"/>
        <v>13690</v>
      </c>
    </row>
    <row r="7" spans="1:8" x14ac:dyDescent="0.2">
      <c r="A7" s="4">
        <v>3</v>
      </c>
      <c r="B7" s="4">
        <v>39</v>
      </c>
      <c r="C7" s="4">
        <v>10</v>
      </c>
      <c r="D7" s="4">
        <f t="shared" si="0"/>
        <v>1521</v>
      </c>
      <c r="E7" s="4">
        <f t="shared" si="1"/>
        <v>59319</v>
      </c>
      <c r="F7" s="4">
        <f t="shared" si="2"/>
        <v>2313441</v>
      </c>
      <c r="G7" s="4">
        <f t="shared" si="3"/>
        <v>390</v>
      </c>
      <c r="H7" s="4">
        <f t="shared" si="4"/>
        <v>15210</v>
      </c>
    </row>
    <row r="8" spans="1:8" x14ac:dyDescent="0.2">
      <c r="A8" s="4">
        <v>4</v>
      </c>
      <c r="B8" s="4">
        <v>37</v>
      </c>
      <c r="C8" s="4">
        <v>10</v>
      </c>
      <c r="D8" s="4">
        <f t="shared" si="0"/>
        <v>1369</v>
      </c>
      <c r="E8" s="4">
        <f t="shared" si="1"/>
        <v>50653</v>
      </c>
      <c r="F8" s="4">
        <f t="shared" si="2"/>
        <v>1874161</v>
      </c>
      <c r="G8" s="4">
        <f t="shared" si="3"/>
        <v>370</v>
      </c>
      <c r="H8" s="4">
        <f t="shared" si="4"/>
        <v>13690</v>
      </c>
    </row>
    <row r="9" spans="1:8" x14ac:dyDescent="0.2">
      <c r="A9" s="4">
        <v>5</v>
      </c>
      <c r="B9" s="4">
        <v>36</v>
      </c>
      <c r="C9" s="4">
        <v>10</v>
      </c>
      <c r="D9" s="4">
        <f t="shared" si="0"/>
        <v>1296</v>
      </c>
      <c r="E9" s="4">
        <f t="shared" si="1"/>
        <v>46656</v>
      </c>
      <c r="F9" s="4">
        <f t="shared" si="2"/>
        <v>1679616</v>
      </c>
      <c r="G9" s="4">
        <f t="shared" si="3"/>
        <v>360</v>
      </c>
      <c r="H9" s="4">
        <f t="shared" si="4"/>
        <v>12960</v>
      </c>
    </row>
    <row r="10" spans="1:8" x14ac:dyDescent="0.2">
      <c r="A10" s="4">
        <v>6</v>
      </c>
      <c r="B10" s="4">
        <v>37</v>
      </c>
      <c r="C10" s="4">
        <v>10</v>
      </c>
      <c r="D10" s="4">
        <f t="shared" si="0"/>
        <v>1369</v>
      </c>
      <c r="E10" s="4">
        <f t="shared" si="1"/>
        <v>50653</v>
      </c>
      <c r="F10" s="4">
        <f t="shared" si="2"/>
        <v>1874161</v>
      </c>
      <c r="G10" s="4">
        <f t="shared" si="3"/>
        <v>370</v>
      </c>
      <c r="H10" s="4">
        <f t="shared" si="4"/>
        <v>13690</v>
      </c>
    </row>
    <row r="11" spans="1:8" x14ac:dyDescent="0.2">
      <c r="A11" s="4">
        <v>7</v>
      </c>
      <c r="B11" s="4">
        <v>37</v>
      </c>
      <c r="C11" s="4">
        <v>10</v>
      </c>
      <c r="D11" s="4">
        <f t="shared" si="0"/>
        <v>1369</v>
      </c>
      <c r="E11" s="4">
        <f t="shared" si="1"/>
        <v>50653</v>
      </c>
      <c r="F11" s="4">
        <f t="shared" si="2"/>
        <v>1874161</v>
      </c>
      <c r="G11" s="4">
        <f t="shared" si="3"/>
        <v>370</v>
      </c>
      <c r="H11" s="4">
        <f t="shared" si="4"/>
        <v>13690</v>
      </c>
    </row>
    <row r="12" spans="1:8" x14ac:dyDescent="0.2">
      <c r="A12" s="4">
        <v>8</v>
      </c>
      <c r="B12" s="4">
        <v>36</v>
      </c>
      <c r="C12" s="4">
        <v>10</v>
      </c>
      <c r="D12" s="4">
        <f t="shared" si="0"/>
        <v>1296</v>
      </c>
      <c r="E12" s="4">
        <f t="shared" si="1"/>
        <v>46656</v>
      </c>
      <c r="F12" s="4">
        <f t="shared" si="2"/>
        <v>1679616</v>
      </c>
      <c r="G12" s="4">
        <f t="shared" si="3"/>
        <v>360</v>
      </c>
      <c r="H12" s="4">
        <f t="shared" si="4"/>
        <v>12960</v>
      </c>
    </row>
    <row r="13" spans="1:8" x14ac:dyDescent="0.2">
      <c r="A13" s="4">
        <v>9</v>
      </c>
      <c r="B13" s="4">
        <v>36</v>
      </c>
      <c r="C13" s="4">
        <v>10</v>
      </c>
      <c r="D13" s="4">
        <f t="shared" si="0"/>
        <v>1296</v>
      </c>
      <c r="E13" s="4">
        <f t="shared" si="1"/>
        <v>46656</v>
      </c>
      <c r="F13" s="4">
        <f t="shared" si="2"/>
        <v>1679616</v>
      </c>
      <c r="G13" s="4">
        <f t="shared" si="3"/>
        <v>360</v>
      </c>
      <c r="H13" s="4">
        <f t="shared" si="4"/>
        <v>12960</v>
      </c>
    </row>
    <row r="14" spans="1:8" x14ac:dyDescent="0.2">
      <c r="A14" s="4">
        <v>10</v>
      </c>
      <c r="B14" s="4">
        <v>37</v>
      </c>
      <c r="C14" s="4">
        <v>10</v>
      </c>
      <c r="D14" s="4">
        <f t="shared" si="0"/>
        <v>1369</v>
      </c>
      <c r="E14" s="4">
        <f t="shared" si="1"/>
        <v>50653</v>
      </c>
      <c r="F14" s="4">
        <f t="shared" si="2"/>
        <v>1874161</v>
      </c>
      <c r="G14" s="4">
        <f t="shared" si="3"/>
        <v>370</v>
      </c>
      <c r="H14" s="4">
        <f t="shared" si="4"/>
        <v>13690</v>
      </c>
    </row>
    <row r="15" spans="1:8" x14ac:dyDescent="0.2">
      <c r="A15" s="4">
        <v>11</v>
      </c>
      <c r="B15" s="4">
        <v>38</v>
      </c>
      <c r="C15" s="4">
        <v>10</v>
      </c>
      <c r="D15" s="4">
        <f t="shared" si="0"/>
        <v>1444</v>
      </c>
      <c r="E15" s="4">
        <f t="shared" si="1"/>
        <v>54872</v>
      </c>
      <c r="F15" s="4">
        <f t="shared" si="2"/>
        <v>2085136</v>
      </c>
      <c r="G15" s="4">
        <f t="shared" si="3"/>
        <v>380</v>
      </c>
      <c r="H15" s="4">
        <f t="shared" si="4"/>
        <v>14440</v>
      </c>
    </row>
    <row r="16" spans="1:8" x14ac:dyDescent="0.2">
      <c r="A16" s="4">
        <v>12</v>
      </c>
      <c r="B16" s="4">
        <v>36</v>
      </c>
      <c r="C16" s="4">
        <v>10</v>
      </c>
      <c r="D16" s="4">
        <f t="shared" si="0"/>
        <v>1296</v>
      </c>
      <c r="E16" s="4">
        <f t="shared" si="1"/>
        <v>46656</v>
      </c>
      <c r="F16" s="4">
        <f t="shared" si="2"/>
        <v>1679616</v>
      </c>
      <c r="G16" s="4">
        <f t="shared" si="3"/>
        <v>360</v>
      </c>
      <c r="H16" s="4">
        <f t="shared" si="4"/>
        <v>12960</v>
      </c>
    </row>
    <row r="17" spans="1:8" x14ac:dyDescent="0.2">
      <c r="A17" s="4">
        <v>13</v>
      </c>
      <c r="B17" s="4">
        <v>37</v>
      </c>
      <c r="C17" s="4">
        <v>10</v>
      </c>
      <c r="D17" s="4">
        <f t="shared" si="0"/>
        <v>1369</v>
      </c>
      <c r="E17" s="4">
        <f t="shared" si="1"/>
        <v>50653</v>
      </c>
      <c r="F17" s="4">
        <f t="shared" si="2"/>
        <v>1874161</v>
      </c>
      <c r="G17" s="4">
        <f t="shared" si="3"/>
        <v>370</v>
      </c>
      <c r="H17" s="4">
        <f t="shared" si="4"/>
        <v>13690</v>
      </c>
    </row>
    <row r="18" spans="1:8" x14ac:dyDescent="0.2">
      <c r="A18" s="4">
        <v>14</v>
      </c>
      <c r="B18" s="4">
        <v>36</v>
      </c>
      <c r="C18" s="4">
        <v>10</v>
      </c>
      <c r="D18" s="4">
        <f t="shared" si="0"/>
        <v>1296</v>
      </c>
      <c r="E18" s="4">
        <f t="shared" si="1"/>
        <v>46656</v>
      </c>
      <c r="F18" s="4">
        <f t="shared" si="2"/>
        <v>1679616</v>
      </c>
      <c r="G18" s="4">
        <f t="shared" si="3"/>
        <v>360</v>
      </c>
      <c r="H18" s="4">
        <f t="shared" si="4"/>
        <v>12960</v>
      </c>
    </row>
    <row r="19" spans="1:8" x14ac:dyDescent="0.2">
      <c r="A19" s="4">
        <v>15</v>
      </c>
      <c r="B19" s="4">
        <v>35</v>
      </c>
      <c r="C19" s="4">
        <v>10</v>
      </c>
      <c r="D19" s="4">
        <f t="shared" si="0"/>
        <v>1225</v>
      </c>
      <c r="E19" s="4">
        <f t="shared" si="1"/>
        <v>42875</v>
      </c>
      <c r="F19" s="4">
        <f t="shared" si="2"/>
        <v>1500625</v>
      </c>
      <c r="G19" s="4">
        <f t="shared" si="3"/>
        <v>350</v>
      </c>
      <c r="H19" s="4">
        <f t="shared" si="4"/>
        <v>12250</v>
      </c>
    </row>
    <row r="20" spans="1:8" x14ac:dyDescent="0.2">
      <c r="A20" s="4">
        <v>16</v>
      </c>
      <c r="B20" s="4">
        <v>37</v>
      </c>
      <c r="C20" s="4">
        <v>10</v>
      </c>
      <c r="D20" s="4">
        <f t="shared" si="0"/>
        <v>1369</v>
      </c>
      <c r="E20" s="4">
        <f t="shared" si="1"/>
        <v>50653</v>
      </c>
      <c r="F20" s="4">
        <f t="shared" si="2"/>
        <v>1874161</v>
      </c>
      <c r="G20" s="4">
        <f t="shared" si="3"/>
        <v>370</v>
      </c>
      <c r="H20" s="4">
        <f t="shared" si="4"/>
        <v>13690</v>
      </c>
    </row>
    <row r="21" spans="1:8" x14ac:dyDescent="0.2">
      <c r="A21" s="4">
        <v>17</v>
      </c>
      <c r="B21" s="4">
        <v>39</v>
      </c>
      <c r="C21" s="4">
        <v>10</v>
      </c>
      <c r="D21" s="4">
        <f t="shared" si="0"/>
        <v>1521</v>
      </c>
      <c r="E21" s="4">
        <f t="shared" si="1"/>
        <v>59319</v>
      </c>
      <c r="F21" s="4">
        <f t="shared" si="2"/>
        <v>2313441</v>
      </c>
      <c r="G21" s="4">
        <f t="shared" si="3"/>
        <v>390</v>
      </c>
      <c r="H21" s="4">
        <f t="shared" si="4"/>
        <v>15210</v>
      </c>
    </row>
    <row r="22" spans="1:8" x14ac:dyDescent="0.2">
      <c r="A22" s="4">
        <v>18</v>
      </c>
      <c r="B22" s="4">
        <v>36</v>
      </c>
      <c r="C22" s="4">
        <v>10</v>
      </c>
      <c r="D22" s="4">
        <f t="shared" si="0"/>
        <v>1296</v>
      </c>
      <c r="E22" s="4">
        <f t="shared" si="1"/>
        <v>46656</v>
      </c>
      <c r="F22" s="4">
        <f t="shared" si="2"/>
        <v>1679616</v>
      </c>
      <c r="G22" s="4">
        <f t="shared" si="3"/>
        <v>360</v>
      </c>
      <c r="H22" s="4">
        <f t="shared" si="4"/>
        <v>12960</v>
      </c>
    </row>
    <row r="23" spans="1:8" x14ac:dyDescent="0.2">
      <c r="A23" s="4">
        <v>19</v>
      </c>
      <c r="B23" s="4">
        <v>35</v>
      </c>
      <c r="C23" s="4">
        <v>10</v>
      </c>
      <c r="D23" s="4">
        <f t="shared" si="0"/>
        <v>1225</v>
      </c>
      <c r="E23" s="4">
        <f t="shared" si="1"/>
        <v>42875</v>
      </c>
      <c r="F23" s="4">
        <f t="shared" si="2"/>
        <v>1500625</v>
      </c>
      <c r="G23" s="4">
        <f t="shared" si="3"/>
        <v>350</v>
      </c>
      <c r="H23" s="4">
        <f t="shared" si="4"/>
        <v>12250</v>
      </c>
    </row>
    <row r="24" spans="1:8" x14ac:dyDescent="0.2">
      <c r="A24" s="4">
        <v>20</v>
      </c>
      <c r="B24" s="4">
        <v>37</v>
      </c>
      <c r="C24" s="4">
        <v>10</v>
      </c>
      <c r="D24" s="4">
        <f t="shared" si="0"/>
        <v>1369</v>
      </c>
      <c r="E24" s="4">
        <f t="shared" si="1"/>
        <v>50653</v>
      </c>
      <c r="F24" s="4">
        <f t="shared" si="2"/>
        <v>1874161</v>
      </c>
      <c r="G24" s="4">
        <f t="shared" si="3"/>
        <v>370</v>
      </c>
      <c r="H24" s="4">
        <f t="shared" si="4"/>
        <v>13690</v>
      </c>
    </row>
    <row r="25" spans="1:8" x14ac:dyDescent="0.2">
      <c r="A25" s="4">
        <v>21</v>
      </c>
      <c r="B25" s="4">
        <v>44</v>
      </c>
      <c r="C25" s="4">
        <v>15</v>
      </c>
      <c r="D25" s="4">
        <f t="shared" si="0"/>
        <v>1936</v>
      </c>
      <c r="E25" s="4">
        <f t="shared" si="1"/>
        <v>85184</v>
      </c>
      <c r="F25" s="4">
        <f t="shared" si="2"/>
        <v>3748096</v>
      </c>
      <c r="G25" s="4">
        <f t="shared" si="3"/>
        <v>660</v>
      </c>
      <c r="H25" s="4">
        <f t="shared" si="4"/>
        <v>29040</v>
      </c>
    </row>
    <row r="26" spans="1:8" x14ac:dyDescent="0.2">
      <c r="A26" s="4">
        <v>22</v>
      </c>
      <c r="B26" s="4">
        <v>43</v>
      </c>
      <c r="C26" s="4">
        <v>15</v>
      </c>
      <c r="D26" s="4">
        <f t="shared" si="0"/>
        <v>1849</v>
      </c>
      <c r="E26" s="4">
        <f t="shared" si="1"/>
        <v>79507</v>
      </c>
      <c r="F26" s="4">
        <f t="shared" si="2"/>
        <v>3418801</v>
      </c>
      <c r="G26" s="4">
        <f t="shared" si="3"/>
        <v>645</v>
      </c>
      <c r="H26" s="4">
        <f t="shared" si="4"/>
        <v>27735</v>
      </c>
    </row>
    <row r="27" spans="1:8" x14ac:dyDescent="0.2">
      <c r="A27" s="4">
        <v>23</v>
      </c>
      <c r="B27" s="4">
        <v>42</v>
      </c>
      <c r="C27" s="4">
        <v>15</v>
      </c>
      <c r="D27" s="4">
        <f t="shared" si="0"/>
        <v>1764</v>
      </c>
      <c r="E27" s="4">
        <f t="shared" si="1"/>
        <v>74088</v>
      </c>
      <c r="F27" s="4">
        <f t="shared" si="2"/>
        <v>3111696</v>
      </c>
      <c r="G27" s="4">
        <f t="shared" si="3"/>
        <v>630</v>
      </c>
      <c r="H27" s="4">
        <f t="shared" si="4"/>
        <v>26460</v>
      </c>
    </row>
    <row r="28" spans="1:8" x14ac:dyDescent="0.2">
      <c r="A28" s="4">
        <v>24</v>
      </c>
      <c r="B28" s="4">
        <v>44</v>
      </c>
      <c r="C28" s="4">
        <v>15</v>
      </c>
      <c r="D28" s="4">
        <f t="shared" si="0"/>
        <v>1936</v>
      </c>
      <c r="E28" s="4">
        <f t="shared" si="1"/>
        <v>85184</v>
      </c>
      <c r="F28" s="4">
        <f t="shared" si="2"/>
        <v>3748096</v>
      </c>
      <c r="G28" s="4">
        <f t="shared" si="3"/>
        <v>660</v>
      </c>
      <c r="H28" s="4">
        <f t="shared" si="4"/>
        <v>29040</v>
      </c>
    </row>
    <row r="29" spans="1:8" x14ac:dyDescent="0.2">
      <c r="A29" s="4">
        <v>25</v>
      </c>
      <c r="B29" s="4">
        <v>43</v>
      </c>
      <c r="C29" s="4">
        <v>15</v>
      </c>
      <c r="D29" s="4">
        <f t="shared" si="0"/>
        <v>1849</v>
      </c>
      <c r="E29" s="4">
        <f t="shared" si="1"/>
        <v>79507</v>
      </c>
      <c r="F29" s="4">
        <f t="shared" si="2"/>
        <v>3418801</v>
      </c>
      <c r="G29" s="4">
        <f t="shared" si="3"/>
        <v>645</v>
      </c>
      <c r="H29" s="4">
        <f t="shared" si="4"/>
        <v>27735</v>
      </c>
    </row>
    <row r="30" spans="1:8" x14ac:dyDescent="0.2">
      <c r="A30" s="4">
        <v>26</v>
      </c>
      <c r="B30" s="4">
        <v>42</v>
      </c>
      <c r="C30" s="4">
        <v>15</v>
      </c>
      <c r="D30" s="4">
        <f t="shared" si="0"/>
        <v>1764</v>
      </c>
      <c r="E30" s="4">
        <f t="shared" si="1"/>
        <v>74088</v>
      </c>
      <c r="F30" s="4">
        <f t="shared" si="2"/>
        <v>3111696</v>
      </c>
      <c r="G30" s="4">
        <f t="shared" si="3"/>
        <v>630</v>
      </c>
      <c r="H30" s="4">
        <f t="shared" si="4"/>
        <v>26460</v>
      </c>
    </row>
    <row r="31" spans="1:8" x14ac:dyDescent="0.2">
      <c r="A31" s="4">
        <v>27</v>
      </c>
      <c r="B31" s="4">
        <v>44</v>
      </c>
      <c r="C31" s="4">
        <v>15</v>
      </c>
      <c r="D31" s="4">
        <f t="shared" si="0"/>
        <v>1936</v>
      </c>
      <c r="E31" s="4">
        <f t="shared" si="1"/>
        <v>85184</v>
      </c>
      <c r="F31" s="4">
        <f t="shared" si="2"/>
        <v>3748096</v>
      </c>
      <c r="G31" s="4">
        <f t="shared" si="3"/>
        <v>660</v>
      </c>
      <c r="H31" s="4">
        <f t="shared" si="4"/>
        <v>29040</v>
      </c>
    </row>
    <row r="32" spans="1:8" x14ac:dyDescent="0.2">
      <c r="A32" s="4">
        <v>28</v>
      </c>
      <c r="B32" s="4">
        <v>43</v>
      </c>
      <c r="C32" s="4">
        <v>15</v>
      </c>
      <c r="D32" s="4">
        <f t="shared" si="0"/>
        <v>1849</v>
      </c>
      <c r="E32" s="4">
        <f t="shared" si="1"/>
        <v>79507</v>
      </c>
      <c r="F32" s="4">
        <f t="shared" si="2"/>
        <v>3418801</v>
      </c>
      <c r="G32" s="4">
        <f t="shared" si="3"/>
        <v>645</v>
      </c>
      <c r="H32" s="4">
        <f t="shared" si="4"/>
        <v>27735</v>
      </c>
    </row>
    <row r="33" spans="1:8" x14ac:dyDescent="0.2">
      <c r="A33" s="4">
        <v>29</v>
      </c>
      <c r="B33" s="4">
        <v>41</v>
      </c>
      <c r="C33" s="4">
        <v>15</v>
      </c>
      <c r="D33" s="4">
        <f t="shared" si="0"/>
        <v>1681</v>
      </c>
      <c r="E33" s="4">
        <f t="shared" si="1"/>
        <v>68921</v>
      </c>
      <c r="F33" s="4">
        <f t="shared" si="2"/>
        <v>2825761</v>
      </c>
      <c r="G33" s="4">
        <f t="shared" si="3"/>
        <v>615</v>
      </c>
      <c r="H33" s="4">
        <f t="shared" si="4"/>
        <v>25215</v>
      </c>
    </row>
    <row r="34" spans="1:8" x14ac:dyDescent="0.2">
      <c r="A34" s="4">
        <v>30</v>
      </c>
      <c r="B34" s="4">
        <v>44</v>
      </c>
      <c r="C34" s="4">
        <v>15</v>
      </c>
      <c r="D34" s="4">
        <f t="shared" si="0"/>
        <v>1936</v>
      </c>
      <c r="E34" s="4">
        <f t="shared" si="1"/>
        <v>85184</v>
      </c>
      <c r="F34" s="4">
        <f t="shared" si="2"/>
        <v>3748096</v>
      </c>
      <c r="G34" s="4">
        <f t="shared" si="3"/>
        <v>660</v>
      </c>
      <c r="H34" s="4">
        <f t="shared" si="4"/>
        <v>29040</v>
      </c>
    </row>
    <row r="35" spans="1:8" x14ac:dyDescent="0.2">
      <c r="A35" s="4">
        <v>31</v>
      </c>
      <c r="B35" s="4">
        <v>42</v>
      </c>
      <c r="C35" s="4">
        <v>15</v>
      </c>
      <c r="D35" s="4">
        <f t="shared" si="0"/>
        <v>1764</v>
      </c>
      <c r="E35" s="4">
        <f t="shared" si="1"/>
        <v>74088</v>
      </c>
      <c r="F35" s="4">
        <f t="shared" si="2"/>
        <v>3111696</v>
      </c>
      <c r="G35" s="4">
        <f t="shared" si="3"/>
        <v>630</v>
      </c>
      <c r="H35" s="4">
        <f t="shared" si="4"/>
        <v>26460</v>
      </c>
    </row>
    <row r="36" spans="1:8" x14ac:dyDescent="0.2">
      <c r="A36" s="4">
        <v>32</v>
      </c>
      <c r="B36" s="4">
        <v>43</v>
      </c>
      <c r="C36" s="4">
        <v>15</v>
      </c>
      <c r="D36" s="4">
        <f t="shared" si="0"/>
        <v>1849</v>
      </c>
      <c r="E36" s="4">
        <f t="shared" si="1"/>
        <v>79507</v>
      </c>
      <c r="F36" s="4">
        <f t="shared" si="2"/>
        <v>3418801</v>
      </c>
      <c r="G36" s="4">
        <f t="shared" si="3"/>
        <v>645</v>
      </c>
      <c r="H36" s="4">
        <f t="shared" si="4"/>
        <v>27735</v>
      </c>
    </row>
    <row r="37" spans="1:8" x14ac:dyDescent="0.2">
      <c r="A37" s="4">
        <v>33</v>
      </c>
      <c r="B37" s="4">
        <v>42</v>
      </c>
      <c r="C37" s="4">
        <v>15</v>
      </c>
      <c r="D37" s="4">
        <f t="shared" ref="D37:D54" si="5">B37^2</f>
        <v>1764</v>
      </c>
      <c r="E37" s="4">
        <f t="shared" ref="E37:E54" si="6">B37^3</f>
        <v>74088</v>
      </c>
      <c r="F37" s="4">
        <f t="shared" ref="F37:F54" si="7">B37^4</f>
        <v>3111696</v>
      </c>
      <c r="G37" s="4">
        <f t="shared" ref="G37:G54" si="8">B37*C37</f>
        <v>630</v>
      </c>
      <c r="H37" s="4">
        <f t="shared" ref="H37:H54" si="9">D37*C37</f>
        <v>26460</v>
      </c>
    </row>
    <row r="38" spans="1:8" x14ac:dyDescent="0.2">
      <c r="A38" s="4">
        <v>34</v>
      </c>
      <c r="B38" s="4">
        <v>41</v>
      </c>
      <c r="C38" s="4">
        <v>15</v>
      </c>
      <c r="D38" s="4">
        <f t="shared" si="5"/>
        <v>1681</v>
      </c>
      <c r="E38" s="4">
        <f t="shared" si="6"/>
        <v>68921</v>
      </c>
      <c r="F38" s="4">
        <f t="shared" si="7"/>
        <v>2825761</v>
      </c>
      <c r="G38" s="4">
        <f t="shared" si="8"/>
        <v>615</v>
      </c>
      <c r="H38" s="4">
        <f t="shared" si="9"/>
        <v>25215</v>
      </c>
    </row>
    <row r="39" spans="1:8" x14ac:dyDescent="0.2">
      <c r="A39" s="4">
        <v>35</v>
      </c>
      <c r="B39" s="4">
        <v>40</v>
      </c>
      <c r="C39" s="4">
        <v>15</v>
      </c>
      <c r="D39" s="4">
        <f t="shared" si="5"/>
        <v>1600</v>
      </c>
      <c r="E39" s="4">
        <f t="shared" si="6"/>
        <v>64000</v>
      </c>
      <c r="F39" s="4">
        <f t="shared" si="7"/>
        <v>2560000</v>
      </c>
      <c r="G39" s="4">
        <f t="shared" si="8"/>
        <v>600</v>
      </c>
      <c r="H39" s="4">
        <f t="shared" si="9"/>
        <v>24000</v>
      </c>
    </row>
    <row r="40" spans="1:8" x14ac:dyDescent="0.2">
      <c r="A40" s="4">
        <v>36</v>
      </c>
      <c r="B40" s="4">
        <v>41</v>
      </c>
      <c r="C40" s="4">
        <v>15</v>
      </c>
      <c r="D40" s="4">
        <f t="shared" si="5"/>
        <v>1681</v>
      </c>
      <c r="E40" s="4">
        <f t="shared" si="6"/>
        <v>68921</v>
      </c>
      <c r="F40" s="4">
        <f t="shared" si="7"/>
        <v>2825761</v>
      </c>
      <c r="G40" s="4">
        <f t="shared" si="8"/>
        <v>615</v>
      </c>
      <c r="H40" s="4">
        <f t="shared" si="9"/>
        <v>25215</v>
      </c>
    </row>
    <row r="41" spans="1:8" x14ac:dyDescent="0.2">
      <c r="A41" s="4">
        <v>37</v>
      </c>
      <c r="B41" s="4">
        <v>44</v>
      </c>
      <c r="C41" s="4">
        <v>15</v>
      </c>
      <c r="D41" s="4">
        <f t="shared" si="5"/>
        <v>1936</v>
      </c>
      <c r="E41" s="4">
        <f t="shared" si="6"/>
        <v>85184</v>
      </c>
      <c r="F41" s="4">
        <f t="shared" si="7"/>
        <v>3748096</v>
      </c>
      <c r="G41" s="4">
        <f t="shared" si="8"/>
        <v>660</v>
      </c>
      <c r="H41" s="4">
        <f t="shared" si="9"/>
        <v>29040</v>
      </c>
    </row>
    <row r="42" spans="1:8" x14ac:dyDescent="0.2">
      <c r="A42" s="4">
        <v>38</v>
      </c>
      <c r="B42" s="4">
        <v>43</v>
      </c>
      <c r="C42" s="4">
        <v>15</v>
      </c>
      <c r="D42" s="4">
        <f t="shared" si="5"/>
        <v>1849</v>
      </c>
      <c r="E42" s="4">
        <f t="shared" si="6"/>
        <v>79507</v>
      </c>
      <c r="F42" s="4">
        <f t="shared" si="7"/>
        <v>3418801</v>
      </c>
      <c r="G42" s="4">
        <f t="shared" si="8"/>
        <v>645</v>
      </c>
      <c r="H42" s="4">
        <f t="shared" si="9"/>
        <v>27735</v>
      </c>
    </row>
    <row r="43" spans="1:8" x14ac:dyDescent="0.2">
      <c r="A43" s="4">
        <v>39</v>
      </c>
      <c r="B43" s="4">
        <v>42</v>
      </c>
      <c r="C43" s="4">
        <v>15</v>
      </c>
      <c r="D43" s="4">
        <f t="shared" si="5"/>
        <v>1764</v>
      </c>
      <c r="E43" s="4">
        <f t="shared" si="6"/>
        <v>74088</v>
      </c>
      <c r="F43" s="4">
        <f t="shared" si="7"/>
        <v>3111696</v>
      </c>
      <c r="G43" s="4">
        <f t="shared" si="8"/>
        <v>630</v>
      </c>
      <c r="H43" s="4">
        <f t="shared" si="9"/>
        <v>26460</v>
      </c>
    </row>
    <row r="44" spans="1:8" x14ac:dyDescent="0.2">
      <c r="A44" s="4">
        <v>40</v>
      </c>
      <c r="B44" s="4">
        <v>41</v>
      </c>
      <c r="C44" s="4">
        <v>15</v>
      </c>
      <c r="D44" s="4">
        <f t="shared" si="5"/>
        <v>1681</v>
      </c>
      <c r="E44" s="4">
        <f t="shared" si="6"/>
        <v>68921</v>
      </c>
      <c r="F44" s="4">
        <f t="shared" si="7"/>
        <v>2825761</v>
      </c>
      <c r="G44" s="4">
        <f t="shared" si="8"/>
        <v>615</v>
      </c>
      <c r="H44" s="4">
        <f t="shared" si="9"/>
        <v>25215</v>
      </c>
    </row>
    <row r="45" spans="1:8" x14ac:dyDescent="0.2">
      <c r="A45" s="4">
        <v>41</v>
      </c>
      <c r="B45" s="4">
        <v>49</v>
      </c>
      <c r="C45" s="4">
        <v>20</v>
      </c>
      <c r="D45" s="4">
        <f t="shared" si="5"/>
        <v>2401</v>
      </c>
      <c r="E45" s="4">
        <f t="shared" si="6"/>
        <v>117649</v>
      </c>
      <c r="F45" s="4">
        <f t="shared" si="7"/>
        <v>5764801</v>
      </c>
      <c r="G45" s="4">
        <f t="shared" si="8"/>
        <v>980</v>
      </c>
      <c r="H45" s="4">
        <f t="shared" si="9"/>
        <v>48020</v>
      </c>
    </row>
    <row r="46" spans="1:8" x14ac:dyDescent="0.2">
      <c r="A46" s="4">
        <v>42</v>
      </c>
      <c r="B46" s="4">
        <v>48</v>
      </c>
      <c r="C46" s="4">
        <v>20</v>
      </c>
      <c r="D46" s="4">
        <f t="shared" si="5"/>
        <v>2304</v>
      </c>
      <c r="E46" s="4">
        <f t="shared" si="6"/>
        <v>110592</v>
      </c>
      <c r="F46" s="4">
        <f t="shared" si="7"/>
        <v>5308416</v>
      </c>
      <c r="G46" s="4">
        <f t="shared" si="8"/>
        <v>960</v>
      </c>
      <c r="H46" s="4">
        <f t="shared" si="9"/>
        <v>46080</v>
      </c>
    </row>
    <row r="47" spans="1:8" x14ac:dyDescent="0.2">
      <c r="A47" s="4">
        <v>43</v>
      </c>
      <c r="B47" s="4">
        <v>49</v>
      </c>
      <c r="C47" s="4">
        <v>20</v>
      </c>
      <c r="D47" s="4">
        <f t="shared" si="5"/>
        <v>2401</v>
      </c>
      <c r="E47" s="4">
        <f t="shared" si="6"/>
        <v>117649</v>
      </c>
      <c r="F47" s="4">
        <f t="shared" si="7"/>
        <v>5764801</v>
      </c>
      <c r="G47" s="4">
        <f t="shared" si="8"/>
        <v>980</v>
      </c>
      <c r="H47" s="4">
        <f t="shared" si="9"/>
        <v>48020</v>
      </c>
    </row>
    <row r="48" spans="1:8" x14ac:dyDescent="0.2">
      <c r="A48" s="4">
        <v>44</v>
      </c>
      <c r="B48" s="4">
        <v>48</v>
      </c>
      <c r="C48" s="4">
        <v>20</v>
      </c>
      <c r="D48" s="4">
        <f t="shared" si="5"/>
        <v>2304</v>
      </c>
      <c r="E48" s="4">
        <f t="shared" si="6"/>
        <v>110592</v>
      </c>
      <c r="F48" s="4">
        <f t="shared" si="7"/>
        <v>5308416</v>
      </c>
      <c r="G48" s="4">
        <f t="shared" si="8"/>
        <v>960</v>
      </c>
      <c r="H48" s="4">
        <f t="shared" si="9"/>
        <v>46080</v>
      </c>
    </row>
    <row r="49" spans="1:8" x14ac:dyDescent="0.2">
      <c r="A49" s="4">
        <v>45</v>
      </c>
      <c r="B49" s="4">
        <v>49</v>
      </c>
      <c r="C49" s="4">
        <v>20</v>
      </c>
      <c r="D49" s="4">
        <f t="shared" si="5"/>
        <v>2401</v>
      </c>
      <c r="E49" s="4">
        <f t="shared" si="6"/>
        <v>117649</v>
      </c>
      <c r="F49" s="4">
        <f t="shared" si="7"/>
        <v>5764801</v>
      </c>
      <c r="G49" s="4">
        <f t="shared" si="8"/>
        <v>980</v>
      </c>
      <c r="H49" s="4">
        <f t="shared" si="9"/>
        <v>48020</v>
      </c>
    </row>
    <row r="50" spans="1:8" x14ac:dyDescent="0.2">
      <c r="A50" s="4">
        <v>46</v>
      </c>
      <c r="B50" s="4">
        <v>49</v>
      </c>
      <c r="C50" s="4">
        <v>20</v>
      </c>
      <c r="D50" s="4">
        <f t="shared" si="5"/>
        <v>2401</v>
      </c>
      <c r="E50" s="4">
        <f t="shared" si="6"/>
        <v>117649</v>
      </c>
      <c r="F50" s="4">
        <f t="shared" si="7"/>
        <v>5764801</v>
      </c>
      <c r="G50" s="4">
        <f t="shared" si="8"/>
        <v>980</v>
      </c>
      <c r="H50" s="4">
        <f t="shared" si="9"/>
        <v>48020</v>
      </c>
    </row>
    <row r="51" spans="1:8" x14ac:dyDescent="0.2">
      <c r="A51" s="4">
        <v>47</v>
      </c>
      <c r="B51" s="4">
        <v>49</v>
      </c>
      <c r="C51" s="4">
        <v>20</v>
      </c>
      <c r="D51" s="4">
        <f t="shared" si="5"/>
        <v>2401</v>
      </c>
      <c r="E51" s="4">
        <f t="shared" si="6"/>
        <v>117649</v>
      </c>
      <c r="F51" s="4">
        <f t="shared" si="7"/>
        <v>5764801</v>
      </c>
      <c r="G51" s="4">
        <f t="shared" si="8"/>
        <v>980</v>
      </c>
      <c r="H51" s="4">
        <f t="shared" si="9"/>
        <v>48020</v>
      </c>
    </row>
    <row r="52" spans="1:8" x14ac:dyDescent="0.2">
      <c r="A52" s="4">
        <v>48</v>
      </c>
      <c r="B52" s="4">
        <v>48</v>
      </c>
      <c r="C52" s="4">
        <v>20</v>
      </c>
      <c r="D52" s="4">
        <f t="shared" si="5"/>
        <v>2304</v>
      </c>
      <c r="E52" s="4">
        <f t="shared" si="6"/>
        <v>110592</v>
      </c>
      <c r="F52" s="4">
        <f t="shared" si="7"/>
        <v>5308416</v>
      </c>
      <c r="G52" s="4">
        <f t="shared" si="8"/>
        <v>960</v>
      </c>
      <c r="H52" s="4">
        <f t="shared" si="9"/>
        <v>46080</v>
      </c>
    </row>
    <row r="53" spans="1:8" x14ac:dyDescent="0.2">
      <c r="A53" s="4">
        <v>49</v>
      </c>
      <c r="B53" s="4">
        <v>49</v>
      </c>
      <c r="C53" s="4">
        <v>20</v>
      </c>
      <c r="D53" s="4">
        <f t="shared" si="5"/>
        <v>2401</v>
      </c>
      <c r="E53" s="4">
        <f t="shared" si="6"/>
        <v>117649</v>
      </c>
      <c r="F53" s="4">
        <f t="shared" si="7"/>
        <v>5764801</v>
      </c>
      <c r="G53" s="4">
        <f t="shared" si="8"/>
        <v>980</v>
      </c>
      <c r="H53" s="4">
        <f t="shared" si="9"/>
        <v>48020</v>
      </c>
    </row>
    <row r="54" spans="1:8" x14ac:dyDescent="0.2">
      <c r="A54" s="4">
        <v>50</v>
      </c>
      <c r="B54" s="4">
        <v>47</v>
      </c>
      <c r="C54" s="4">
        <v>20</v>
      </c>
      <c r="D54" s="4">
        <f t="shared" si="5"/>
        <v>2209</v>
      </c>
      <c r="E54" s="4">
        <f t="shared" si="6"/>
        <v>103823</v>
      </c>
      <c r="F54" s="4">
        <f t="shared" si="7"/>
        <v>4879681</v>
      </c>
      <c r="G54" s="4">
        <f t="shared" si="8"/>
        <v>940</v>
      </c>
      <c r="H54" s="4">
        <f t="shared" si="9"/>
        <v>44180</v>
      </c>
    </row>
    <row r="55" spans="1:8" x14ac:dyDescent="0.2">
      <c r="A55" s="7" t="s">
        <v>16</v>
      </c>
      <c r="B55" s="7">
        <f t="shared" ref="B55:H55" si="10">SUM(B5:B54)</f>
        <v>2070</v>
      </c>
      <c r="C55" s="7">
        <f t="shared" si="10"/>
        <v>700</v>
      </c>
      <c r="D55" s="7">
        <f t="shared" si="10"/>
        <v>86704</v>
      </c>
      <c r="E55" s="7">
        <f t="shared" si="10"/>
        <v>3674364</v>
      </c>
      <c r="F55" s="7">
        <f t="shared" si="10"/>
        <v>157519132</v>
      </c>
      <c r="G55" s="7">
        <f t="shared" si="10"/>
        <v>29795</v>
      </c>
      <c r="H55" s="7">
        <f t="shared" si="10"/>
        <v>1282655</v>
      </c>
    </row>
    <row r="58" spans="1:8" x14ac:dyDescent="0.2">
      <c r="A58" s="6" t="s">
        <v>17</v>
      </c>
    </row>
    <row r="59" spans="1:8" x14ac:dyDescent="0.2">
      <c r="A59" s="6" t="s">
        <v>18</v>
      </c>
      <c r="B59">
        <f>((B2*G55)-(B55*C55)) / ((B2*D55)-(B55^2))</f>
        <v>0.81013916500994032</v>
      </c>
    </row>
    <row r="60" spans="1:8" x14ac:dyDescent="0.2">
      <c r="A60" s="6" t="s">
        <v>19</v>
      </c>
      <c r="B60">
        <f>(C55-B59*B55)/B2</f>
        <v>-19.539761431411531</v>
      </c>
    </row>
    <row r="63" spans="1:8" x14ac:dyDescent="0.2">
      <c r="A63" s="6" t="s">
        <v>20</v>
      </c>
    </row>
    <row r="64" spans="1:8" x14ac:dyDescent="0.2">
      <c r="A64" s="6" t="s">
        <v>21</v>
      </c>
    </row>
    <row r="65" spans="1:6" x14ac:dyDescent="0.2">
      <c r="B65" s="8" t="s">
        <v>7</v>
      </c>
      <c r="C65" s="8" t="s">
        <v>22</v>
      </c>
      <c r="D65" s="8" t="s">
        <v>23</v>
      </c>
      <c r="F65" s="6" t="s">
        <v>24</v>
      </c>
    </row>
    <row r="66" spans="1:6" x14ac:dyDescent="0.2">
      <c r="A66" t="s">
        <v>25</v>
      </c>
      <c r="B66">
        <f>B2</f>
        <v>50</v>
      </c>
      <c r="C66">
        <f>B55</f>
        <v>2070</v>
      </c>
      <c r="D66">
        <f>D55</f>
        <v>86704</v>
      </c>
      <c r="F66">
        <f>C55</f>
        <v>700</v>
      </c>
    </row>
    <row r="67" spans="1:6" x14ac:dyDescent="0.2">
      <c r="A67" t="s">
        <v>26</v>
      </c>
      <c r="B67">
        <f>B55</f>
        <v>2070</v>
      </c>
      <c r="C67">
        <f>D55</f>
        <v>86704</v>
      </c>
      <c r="D67">
        <f>E55</f>
        <v>3674364</v>
      </c>
      <c r="F67">
        <f>G55</f>
        <v>29795</v>
      </c>
    </row>
    <row r="68" spans="1:6" x14ac:dyDescent="0.2">
      <c r="A68" t="s">
        <v>27</v>
      </c>
      <c r="B68">
        <f>D55</f>
        <v>86704</v>
      </c>
      <c r="C68">
        <f>E55</f>
        <v>3674364</v>
      </c>
      <c r="D68">
        <f>F55</f>
        <v>157519132</v>
      </c>
      <c r="F68">
        <f>H55</f>
        <v>1282655</v>
      </c>
    </row>
    <row r="70" spans="1:6" x14ac:dyDescent="0.2">
      <c r="A70" s="6" t="s">
        <v>28</v>
      </c>
    </row>
    <row r="71" spans="1:6" x14ac:dyDescent="0.2">
      <c r="A71" s="6" t="s">
        <v>29</v>
      </c>
      <c r="B71">
        <f>INDEX(MMULT(MINVERSE(B66:D68),F66:F68),1,1)</f>
        <v>-10.404021244205069</v>
      </c>
    </row>
    <row r="72" spans="1:6" x14ac:dyDescent="0.2">
      <c r="A72" s="6" t="s">
        <v>30</v>
      </c>
      <c r="B72">
        <f>INDEX(MMULT(MINVERSE(B66:D68),F66:F68),2,1)</f>
        <v>0.37161055250817299</v>
      </c>
    </row>
    <row r="73" spans="1:6" x14ac:dyDescent="0.2">
      <c r="A73" s="6" t="s">
        <v>31</v>
      </c>
      <c r="B73">
        <f>INDEX(MMULT(MINVERSE(B66:D68),F66:F68),3,1)</f>
        <v>5.2012273772987783E-3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1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38</v>
      </c>
    </row>
    <row r="2" spans="1:8" x14ac:dyDescent="0.2">
      <c r="A2" s="6" t="s">
        <v>7</v>
      </c>
      <c r="B2">
        <v>98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50</v>
      </c>
      <c r="C5" s="4">
        <v>20</v>
      </c>
      <c r="D5" s="4">
        <f t="shared" ref="D5:D36" si="0">B5^2</f>
        <v>2500</v>
      </c>
      <c r="E5" s="4">
        <f t="shared" ref="E5:E36" si="1">B5^3</f>
        <v>125000</v>
      </c>
      <c r="F5" s="4">
        <f t="shared" ref="F5:F36" si="2">B5^4</f>
        <v>6250000</v>
      </c>
      <c r="G5" s="4">
        <f t="shared" ref="G5:G36" si="3">B5*C5</f>
        <v>1000</v>
      </c>
      <c r="H5" s="4">
        <f t="shared" ref="H5:H36" si="4">D5*C5</f>
        <v>50000</v>
      </c>
    </row>
    <row r="6" spans="1:8" x14ac:dyDescent="0.2">
      <c r="A6" s="4">
        <v>2</v>
      </c>
      <c r="B6" s="4">
        <v>51</v>
      </c>
      <c r="C6" s="4">
        <v>20</v>
      </c>
      <c r="D6" s="4">
        <f t="shared" si="0"/>
        <v>2601</v>
      </c>
      <c r="E6" s="4">
        <f t="shared" si="1"/>
        <v>132651</v>
      </c>
      <c r="F6" s="4">
        <f t="shared" si="2"/>
        <v>6765201</v>
      </c>
      <c r="G6" s="4">
        <f t="shared" si="3"/>
        <v>1020</v>
      </c>
      <c r="H6" s="4">
        <f t="shared" si="4"/>
        <v>52020</v>
      </c>
    </row>
    <row r="7" spans="1:8" x14ac:dyDescent="0.2">
      <c r="A7" s="4">
        <v>3</v>
      </c>
      <c r="B7" s="4">
        <v>50</v>
      </c>
      <c r="C7" s="4">
        <v>20</v>
      </c>
      <c r="D7" s="4">
        <f t="shared" si="0"/>
        <v>2500</v>
      </c>
      <c r="E7" s="4">
        <f t="shared" si="1"/>
        <v>125000</v>
      </c>
      <c r="F7" s="4">
        <f t="shared" si="2"/>
        <v>6250000</v>
      </c>
      <c r="G7" s="4">
        <f t="shared" si="3"/>
        <v>1000</v>
      </c>
      <c r="H7" s="4">
        <f t="shared" si="4"/>
        <v>50000</v>
      </c>
    </row>
    <row r="8" spans="1:8" x14ac:dyDescent="0.2">
      <c r="A8" s="4">
        <v>4</v>
      </c>
      <c r="B8" s="4">
        <v>51</v>
      </c>
      <c r="C8" s="4">
        <v>20</v>
      </c>
      <c r="D8" s="4">
        <f t="shared" si="0"/>
        <v>2601</v>
      </c>
      <c r="E8" s="4">
        <f t="shared" si="1"/>
        <v>132651</v>
      </c>
      <c r="F8" s="4">
        <f t="shared" si="2"/>
        <v>6765201</v>
      </c>
      <c r="G8" s="4">
        <f t="shared" si="3"/>
        <v>1020</v>
      </c>
      <c r="H8" s="4">
        <f t="shared" si="4"/>
        <v>52020</v>
      </c>
    </row>
    <row r="9" spans="1:8" x14ac:dyDescent="0.2">
      <c r="A9" s="4">
        <v>5</v>
      </c>
      <c r="B9" s="4">
        <v>50</v>
      </c>
      <c r="C9" s="4">
        <v>20</v>
      </c>
      <c r="D9" s="4">
        <f t="shared" si="0"/>
        <v>2500</v>
      </c>
      <c r="E9" s="4">
        <f t="shared" si="1"/>
        <v>125000</v>
      </c>
      <c r="F9" s="4">
        <f t="shared" si="2"/>
        <v>6250000</v>
      </c>
      <c r="G9" s="4">
        <f t="shared" si="3"/>
        <v>1000</v>
      </c>
      <c r="H9" s="4">
        <f t="shared" si="4"/>
        <v>50000</v>
      </c>
    </row>
    <row r="10" spans="1:8" x14ac:dyDescent="0.2">
      <c r="A10" s="4">
        <v>6</v>
      </c>
      <c r="B10" s="4">
        <v>52</v>
      </c>
      <c r="C10" s="4">
        <v>20</v>
      </c>
      <c r="D10" s="4">
        <f t="shared" si="0"/>
        <v>2704</v>
      </c>
      <c r="E10" s="4">
        <f t="shared" si="1"/>
        <v>140608</v>
      </c>
      <c r="F10" s="4">
        <f t="shared" si="2"/>
        <v>7311616</v>
      </c>
      <c r="G10" s="4">
        <f t="shared" si="3"/>
        <v>1040</v>
      </c>
      <c r="H10" s="4">
        <f t="shared" si="4"/>
        <v>54080</v>
      </c>
    </row>
    <row r="11" spans="1:8" x14ac:dyDescent="0.2">
      <c r="A11" s="4">
        <v>7</v>
      </c>
      <c r="B11" s="4">
        <v>50</v>
      </c>
      <c r="C11" s="4">
        <v>20</v>
      </c>
      <c r="D11" s="4">
        <f t="shared" si="0"/>
        <v>2500</v>
      </c>
      <c r="E11" s="4">
        <f t="shared" si="1"/>
        <v>125000</v>
      </c>
      <c r="F11" s="4">
        <f t="shared" si="2"/>
        <v>6250000</v>
      </c>
      <c r="G11" s="4">
        <f t="shared" si="3"/>
        <v>1000</v>
      </c>
      <c r="H11" s="4">
        <f t="shared" si="4"/>
        <v>50000</v>
      </c>
    </row>
    <row r="12" spans="1:8" x14ac:dyDescent="0.2">
      <c r="A12" s="4">
        <v>8</v>
      </c>
      <c r="B12" s="4">
        <v>52</v>
      </c>
      <c r="C12" s="4">
        <v>20</v>
      </c>
      <c r="D12" s="4">
        <f t="shared" si="0"/>
        <v>2704</v>
      </c>
      <c r="E12" s="4">
        <f t="shared" si="1"/>
        <v>140608</v>
      </c>
      <c r="F12" s="4">
        <f t="shared" si="2"/>
        <v>7311616</v>
      </c>
      <c r="G12" s="4">
        <f t="shared" si="3"/>
        <v>1040</v>
      </c>
      <c r="H12" s="4">
        <f t="shared" si="4"/>
        <v>54080</v>
      </c>
    </row>
    <row r="13" spans="1:8" x14ac:dyDescent="0.2">
      <c r="A13" s="4">
        <v>9</v>
      </c>
      <c r="B13" s="4">
        <v>51</v>
      </c>
      <c r="C13" s="4">
        <v>20</v>
      </c>
      <c r="D13" s="4">
        <f t="shared" si="0"/>
        <v>2601</v>
      </c>
      <c r="E13" s="4">
        <f t="shared" si="1"/>
        <v>132651</v>
      </c>
      <c r="F13" s="4">
        <f t="shared" si="2"/>
        <v>6765201</v>
      </c>
      <c r="G13" s="4">
        <f t="shared" si="3"/>
        <v>1020</v>
      </c>
      <c r="H13" s="4">
        <f t="shared" si="4"/>
        <v>52020</v>
      </c>
    </row>
    <row r="14" spans="1:8" x14ac:dyDescent="0.2">
      <c r="A14" s="4">
        <v>10</v>
      </c>
      <c r="B14" s="4">
        <v>50</v>
      </c>
      <c r="C14" s="4">
        <v>20</v>
      </c>
      <c r="D14" s="4">
        <f t="shared" si="0"/>
        <v>2500</v>
      </c>
      <c r="E14" s="4">
        <f t="shared" si="1"/>
        <v>125000</v>
      </c>
      <c r="F14" s="4">
        <f t="shared" si="2"/>
        <v>6250000</v>
      </c>
      <c r="G14" s="4">
        <f t="shared" si="3"/>
        <v>1000</v>
      </c>
      <c r="H14" s="4">
        <f t="shared" si="4"/>
        <v>50000</v>
      </c>
    </row>
    <row r="15" spans="1:8" x14ac:dyDescent="0.2">
      <c r="A15" s="4">
        <v>11</v>
      </c>
      <c r="B15" s="4">
        <v>61</v>
      </c>
      <c r="C15" s="4">
        <v>25</v>
      </c>
      <c r="D15" s="4">
        <f t="shared" si="0"/>
        <v>3721</v>
      </c>
      <c r="E15" s="4">
        <f t="shared" si="1"/>
        <v>226981</v>
      </c>
      <c r="F15" s="4">
        <f t="shared" si="2"/>
        <v>13845841</v>
      </c>
      <c r="G15" s="4">
        <f t="shared" si="3"/>
        <v>1525</v>
      </c>
      <c r="H15" s="4">
        <f t="shared" si="4"/>
        <v>93025</v>
      </c>
    </row>
    <row r="16" spans="1:8" x14ac:dyDescent="0.2">
      <c r="A16" s="4">
        <v>12</v>
      </c>
      <c r="B16" s="4">
        <v>56</v>
      </c>
      <c r="C16" s="4">
        <v>25</v>
      </c>
      <c r="D16" s="4">
        <f t="shared" si="0"/>
        <v>3136</v>
      </c>
      <c r="E16" s="4">
        <f t="shared" si="1"/>
        <v>175616</v>
      </c>
      <c r="F16" s="4">
        <f t="shared" si="2"/>
        <v>9834496</v>
      </c>
      <c r="G16" s="4">
        <f t="shared" si="3"/>
        <v>1400</v>
      </c>
      <c r="H16" s="4">
        <f t="shared" si="4"/>
        <v>78400</v>
      </c>
    </row>
    <row r="17" spans="1:8" x14ac:dyDescent="0.2">
      <c r="A17" s="4">
        <v>13</v>
      </c>
      <c r="B17" s="4">
        <v>57</v>
      </c>
      <c r="C17" s="4">
        <v>25</v>
      </c>
      <c r="D17" s="4">
        <f t="shared" si="0"/>
        <v>3249</v>
      </c>
      <c r="E17" s="4">
        <f t="shared" si="1"/>
        <v>185193</v>
      </c>
      <c r="F17" s="4">
        <f t="shared" si="2"/>
        <v>10556001</v>
      </c>
      <c r="G17" s="4">
        <f t="shared" si="3"/>
        <v>1425</v>
      </c>
      <c r="H17" s="4">
        <f t="shared" si="4"/>
        <v>81225</v>
      </c>
    </row>
    <row r="18" spans="1:8" x14ac:dyDescent="0.2">
      <c r="A18" s="4">
        <v>14</v>
      </c>
      <c r="B18" s="4">
        <v>57</v>
      </c>
      <c r="C18" s="4">
        <v>25</v>
      </c>
      <c r="D18" s="4">
        <f t="shared" si="0"/>
        <v>3249</v>
      </c>
      <c r="E18" s="4">
        <f t="shared" si="1"/>
        <v>185193</v>
      </c>
      <c r="F18" s="4">
        <f t="shared" si="2"/>
        <v>10556001</v>
      </c>
      <c r="G18" s="4">
        <f t="shared" si="3"/>
        <v>1425</v>
      </c>
      <c r="H18" s="4">
        <f t="shared" si="4"/>
        <v>81225</v>
      </c>
    </row>
    <row r="19" spans="1:8" x14ac:dyDescent="0.2">
      <c r="A19" s="4">
        <v>15</v>
      </c>
      <c r="B19" s="4">
        <v>56</v>
      </c>
      <c r="C19" s="4">
        <v>25</v>
      </c>
      <c r="D19" s="4">
        <f t="shared" si="0"/>
        <v>3136</v>
      </c>
      <c r="E19" s="4">
        <f t="shared" si="1"/>
        <v>175616</v>
      </c>
      <c r="F19" s="4">
        <f t="shared" si="2"/>
        <v>9834496</v>
      </c>
      <c r="G19" s="4">
        <f t="shared" si="3"/>
        <v>1400</v>
      </c>
      <c r="H19" s="4">
        <f t="shared" si="4"/>
        <v>78400</v>
      </c>
    </row>
    <row r="20" spans="1:8" x14ac:dyDescent="0.2">
      <c r="A20" s="4">
        <v>16</v>
      </c>
      <c r="B20" s="4">
        <v>58</v>
      </c>
      <c r="C20" s="4">
        <v>25</v>
      </c>
      <c r="D20" s="4">
        <f t="shared" si="0"/>
        <v>3364</v>
      </c>
      <c r="E20" s="4">
        <f t="shared" si="1"/>
        <v>195112</v>
      </c>
      <c r="F20" s="4">
        <f t="shared" si="2"/>
        <v>11316496</v>
      </c>
      <c r="G20" s="4">
        <f t="shared" si="3"/>
        <v>1450</v>
      </c>
      <c r="H20" s="4">
        <f t="shared" si="4"/>
        <v>84100</v>
      </c>
    </row>
    <row r="21" spans="1:8" x14ac:dyDescent="0.2">
      <c r="A21" s="4">
        <v>17</v>
      </c>
      <c r="B21" s="4">
        <v>57</v>
      </c>
      <c r="C21" s="4">
        <v>25</v>
      </c>
      <c r="D21" s="4">
        <f t="shared" si="0"/>
        <v>3249</v>
      </c>
      <c r="E21" s="4">
        <f t="shared" si="1"/>
        <v>185193</v>
      </c>
      <c r="F21" s="4">
        <f t="shared" si="2"/>
        <v>10556001</v>
      </c>
      <c r="G21" s="4">
        <f t="shared" si="3"/>
        <v>1425</v>
      </c>
      <c r="H21" s="4">
        <f t="shared" si="4"/>
        <v>81225</v>
      </c>
    </row>
    <row r="22" spans="1:8" x14ac:dyDescent="0.2">
      <c r="A22" s="4">
        <v>18</v>
      </c>
      <c r="B22" s="4">
        <v>56</v>
      </c>
      <c r="C22" s="4">
        <v>25</v>
      </c>
      <c r="D22" s="4">
        <f t="shared" si="0"/>
        <v>3136</v>
      </c>
      <c r="E22" s="4">
        <f t="shared" si="1"/>
        <v>175616</v>
      </c>
      <c r="F22" s="4">
        <f t="shared" si="2"/>
        <v>9834496</v>
      </c>
      <c r="G22" s="4">
        <f t="shared" si="3"/>
        <v>1400</v>
      </c>
      <c r="H22" s="4">
        <f t="shared" si="4"/>
        <v>78400</v>
      </c>
    </row>
    <row r="23" spans="1:8" x14ac:dyDescent="0.2">
      <c r="A23" s="4">
        <v>19</v>
      </c>
      <c r="B23" s="4">
        <v>57</v>
      </c>
      <c r="C23" s="4">
        <v>25</v>
      </c>
      <c r="D23" s="4">
        <f t="shared" si="0"/>
        <v>3249</v>
      </c>
      <c r="E23" s="4">
        <f t="shared" si="1"/>
        <v>185193</v>
      </c>
      <c r="F23" s="4">
        <f t="shared" si="2"/>
        <v>10556001</v>
      </c>
      <c r="G23" s="4">
        <f t="shared" si="3"/>
        <v>1425</v>
      </c>
      <c r="H23" s="4">
        <f t="shared" si="4"/>
        <v>81225</v>
      </c>
    </row>
    <row r="24" spans="1:8" x14ac:dyDescent="0.2">
      <c r="A24" s="4">
        <v>20</v>
      </c>
      <c r="B24" s="4">
        <v>56</v>
      </c>
      <c r="C24" s="4">
        <v>25</v>
      </c>
      <c r="D24" s="4">
        <f t="shared" si="0"/>
        <v>3136</v>
      </c>
      <c r="E24" s="4">
        <f t="shared" si="1"/>
        <v>175616</v>
      </c>
      <c r="F24" s="4">
        <f t="shared" si="2"/>
        <v>9834496</v>
      </c>
      <c r="G24" s="4">
        <f t="shared" si="3"/>
        <v>1400</v>
      </c>
      <c r="H24" s="4">
        <f t="shared" si="4"/>
        <v>78400</v>
      </c>
    </row>
    <row r="25" spans="1:8" x14ac:dyDescent="0.2">
      <c r="A25" s="4">
        <v>21</v>
      </c>
      <c r="B25" s="4">
        <v>58</v>
      </c>
      <c r="C25" s="4">
        <v>25</v>
      </c>
      <c r="D25" s="4">
        <f t="shared" si="0"/>
        <v>3364</v>
      </c>
      <c r="E25" s="4">
        <f t="shared" si="1"/>
        <v>195112</v>
      </c>
      <c r="F25" s="4">
        <f t="shared" si="2"/>
        <v>11316496</v>
      </c>
      <c r="G25" s="4">
        <f t="shared" si="3"/>
        <v>1450</v>
      </c>
      <c r="H25" s="4">
        <f t="shared" si="4"/>
        <v>84100</v>
      </c>
    </row>
    <row r="26" spans="1:8" x14ac:dyDescent="0.2">
      <c r="A26" s="4">
        <v>22</v>
      </c>
      <c r="B26" s="4">
        <v>56</v>
      </c>
      <c r="C26" s="4">
        <v>25</v>
      </c>
      <c r="D26" s="4">
        <f t="shared" si="0"/>
        <v>3136</v>
      </c>
      <c r="E26" s="4">
        <f t="shared" si="1"/>
        <v>175616</v>
      </c>
      <c r="F26" s="4">
        <f t="shared" si="2"/>
        <v>9834496</v>
      </c>
      <c r="G26" s="4">
        <f t="shared" si="3"/>
        <v>1400</v>
      </c>
      <c r="H26" s="4">
        <f t="shared" si="4"/>
        <v>78400</v>
      </c>
    </row>
    <row r="27" spans="1:8" x14ac:dyDescent="0.2">
      <c r="A27" s="4">
        <v>23</v>
      </c>
      <c r="B27" s="4">
        <v>57</v>
      </c>
      <c r="C27" s="4">
        <v>25</v>
      </c>
      <c r="D27" s="4">
        <f t="shared" si="0"/>
        <v>3249</v>
      </c>
      <c r="E27" s="4">
        <f t="shared" si="1"/>
        <v>185193</v>
      </c>
      <c r="F27" s="4">
        <f t="shared" si="2"/>
        <v>10556001</v>
      </c>
      <c r="G27" s="4">
        <f t="shared" si="3"/>
        <v>1425</v>
      </c>
      <c r="H27" s="4">
        <f t="shared" si="4"/>
        <v>81225</v>
      </c>
    </row>
    <row r="28" spans="1:8" x14ac:dyDescent="0.2">
      <c r="A28" s="4">
        <v>24</v>
      </c>
      <c r="B28" s="4">
        <v>58</v>
      </c>
      <c r="C28" s="4">
        <v>25</v>
      </c>
      <c r="D28" s="4">
        <f t="shared" si="0"/>
        <v>3364</v>
      </c>
      <c r="E28" s="4">
        <f t="shared" si="1"/>
        <v>195112</v>
      </c>
      <c r="F28" s="4">
        <f t="shared" si="2"/>
        <v>11316496</v>
      </c>
      <c r="G28" s="4">
        <f t="shared" si="3"/>
        <v>1450</v>
      </c>
      <c r="H28" s="4">
        <f t="shared" si="4"/>
        <v>84100</v>
      </c>
    </row>
    <row r="29" spans="1:8" x14ac:dyDescent="0.2">
      <c r="A29" s="4">
        <v>25</v>
      </c>
      <c r="B29" s="4">
        <v>55</v>
      </c>
      <c r="C29" s="4">
        <v>25</v>
      </c>
      <c r="D29" s="4">
        <f t="shared" si="0"/>
        <v>3025</v>
      </c>
      <c r="E29" s="4">
        <f t="shared" si="1"/>
        <v>166375</v>
      </c>
      <c r="F29" s="4">
        <f t="shared" si="2"/>
        <v>9150625</v>
      </c>
      <c r="G29" s="4">
        <f t="shared" si="3"/>
        <v>1375</v>
      </c>
      <c r="H29" s="4">
        <f t="shared" si="4"/>
        <v>75625</v>
      </c>
    </row>
    <row r="30" spans="1:8" x14ac:dyDescent="0.2">
      <c r="A30" s="4">
        <v>26</v>
      </c>
      <c r="B30" s="4">
        <v>56</v>
      </c>
      <c r="C30" s="4">
        <v>25</v>
      </c>
      <c r="D30" s="4">
        <f t="shared" si="0"/>
        <v>3136</v>
      </c>
      <c r="E30" s="4">
        <f t="shared" si="1"/>
        <v>175616</v>
      </c>
      <c r="F30" s="4">
        <f t="shared" si="2"/>
        <v>9834496</v>
      </c>
      <c r="G30" s="4">
        <f t="shared" si="3"/>
        <v>1400</v>
      </c>
      <c r="H30" s="4">
        <f t="shared" si="4"/>
        <v>78400</v>
      </c>
    </row>
    <row r="31" spans="1:8" x14ac:dyDescent="0.2">
      <c r="A31" s="4">
        <v>27</v>
      </c>
      <c r="B31" s="4">
        <v>55</v>
      </c>
      <c r="C31" s="4">
        <v>25</v>
      </c>
      <c r="D31" s="4">
        <f t="shared" si="0"/>
        <v>3025</v>
      </c>
      <c r="E31" s="4">
        <f t="shared" si="1"/>
        <v>166375</v>
      </c>
      <c r="F31" s="4">
        <f t="shared" si="2"/>
        <v>9150625</v>
      </c>
      <c r="G31" s="4">
        <f t="shared" si="3"/>
        <v>1375</v>
      </c>
      <c r="H31" s="4">
        <f t="shared" si="4"/>
        <v>75625</v>
      </c>
    </row>
    <row r="32" spans="1:8" x14ac:dyDescent="0.2">
      <c r="A32" s="4">
        <v>28</v>
      </c>
      <c r="B32" s="4">
        <v>57</v>
      </c>
      <c r="C32" s="4">
        <v>25</v>
      </c>
      <c r="D32" s="4">
        <f t="shared" si="0"/>
        <v>3249</v>
      </c>
      <c r="E32" s="4">
        <f t="shared" si="1"/>
        <v>185193</v>
      </c>
      <c r="F32" s="4">
        <f t="shared" si="2"/>
        <v>10556001</v>
      </c>
      <c r="G32" s="4">
        <f t="shared" si="3"/>
        <v>1425</v>
      </c>
      <c r="H32" s="4">
        <f t="shared" si="4"/>
        <v>81225</v>
      </c>
    </row>
    <row r="33" spans="1:8" x14ac:dyDescent="0.2">
      <c r="A33" s="4">
        <v>29</v>
      </c>
      <c r="B33" s="4">
        <v>58</v>
      </c>
      <c r="C33" s="4">
        <v>25</v>
      </c>
      <c r="D33" s="4">
        <f t="shared" si="0"/>
        <v>3364</v>
      </c>
      <c r="E33" s="4">
        <f t="shared" si="1"/>
        <v>195112</v>
      </c>
      <c r="F33" s="4">
        <f t="shared" si="2"/>
        <v>11316496</v>
      </c>
      <c r="G33" s="4">
        <f t="shared" si="3"/>
        <v>1450</v>
      </c>
      <c r="H33" s="4">
        <f t="shared" si="4"/>
        <v>84100</v>
      </c>
    </row>
    <row r="34" spans="1:8" x14ac:dyDescent="0.2">
      <c r="A34" s="4">
        <v>30</v>
      </c>
      <c r="B34" s="4">
        <v>55</v>
      </c>
      <c r="C34" s="4">
        <v>25</v>
      </c>
      <c r="D34" s="4">
        <f t="shared" si="0"/>
        <v>3025</v>
      </c>
      <c r="E34" s="4">
        <f t="shared" si="1"/>
        <v>166375</v>
      </c>
      <c r="F34" s="4">
        <f t="shared" si="2"/>
        <v>9150625</v>
      </c>
      <c r="G34" s="4">
        <f t="shared" si="3"/>
        <v>1375</v>
      </c>
      <c r="H34" s="4">
        <f t="shared" si="4"/>
        <v>75625</v>
      </c>
    </row>
    <row r="35" spans="1:8" x14ac:dyDescent="0.2">
      <c r="A35" s="4">
        <v>31</v>
      </c>
      <c r="B35" s="4">
        <v>65</v>
      </c>
      <c r="C35" s="4">
        <v>30</v>
      </c>
      <c r="D35" s="4">
        <f t="shared" si="0"/>
        <v>4225</v>
      </c>
      <c r="E35" s="4">
        <f t="shared" si="1"/>
        <v>274625</v>
      </c>
      <c r="F35" s="4">
        <f t="shared" si="2"/>
        <v>17850625</v>
      </c>
      <c r="G35" s="4">
        <f t="shared" si="3"/>
        <v>1950</v>
      </c>
      <c r="H35" s="4">
        <f t="shared" si="4"/>
        <v>126750</v>
      </c>
    </row>
    <row r="36" spans="1:8" x14ac:dyDescent="0.2">
      <c r="A36" s="4">
        <v>32</v>
      </c>
      <c r="B36" s="4">
        <v>67</v>
      </c>
      <c r="C36" s="4">
        <v>30</v>
      </c>
      <c r="D36" s="4">
        <f t="shared" si="0"/>
        <v>4489</v>
      </c>
      <c r="E36" s="4">
        <f t="shared" si="1"/>
        <v>300763</v>
      </c>
      <c r="F36" s="4">
        <f t="shared" si="2"/>
        <v>20151121</v>
      </c>
      <c r="G36" s="4">
        <f t="shared" si="3"/>
        <v>2010</v>
      </c>
      <c r="H36" s="4">
        <f t="shared" si="4"/>
        <v>134670</v>
      </c>
    </row>
    <row r="37" spans="1:8" x14ac:dyDescent="0.2">
      <c r="A37" s="4">
        <v>33</v>
      </c>
      <c r="B37" s="4">
        <v>64</v>
      </c>
      <c r="C37" s="4">
        <v>30</v>
      </c>
      <c r="D37" s="4">
        <f t="shared" ref="D37:D68" si="5">B37^2</f>
        <v>4096</v>
      </c>
      <c r="E37" s="4">
        <f t="shared" ref="E37:E68" si="6">B37^3</f>
        <v>262144</v>
      </c>
      <c r="F37" s="4">
        <f t="shared" ref="F37:F68" si="7">B37^4</f>
        <v>16777216</v>
      </c>
      <c r="G37" s="4">
        <f t="shared" ref="G37:G68" si="8">B37*C37</f>
        <v>1920</v>
      </c>
      <c r="H37" s="4">
        <f t="shared" ref="H37:H68" si="9">D37*C37</f>
        <v>122880</v>
      </c>
    </row>
    <row r="38" spans="1:8" x14ac:dyDescent="0.2">
      <c r="A38" s="4">
        <v>34</v>
      </c>
      <c r="B38" s="4">
        <v>63</v>
      </c>
      <c r="C38" s="4">
        <v>30</v>
      </c>
      <c r="D38" s="4">
        <f t="shared" si="5"/>
        <v>3969</v>
      </c>
      <c r="E38" s="4">
        <f t="shared" si="6"/>
        <v>250047</v>
      </c>
      <c r="F38" s="4">
        <f t="shared" si="7"/>
        <v>15752961</v>
      </c>
      <c r="G38" s="4">
        <f t="shared" si="8"/>
        <v>1890</v>
      </c>
      <c r="H38" s="4">
        <f t="shared" si="9"/>
        <v>119070</v>
      </c>
    </row>
    <row r="39" spans="1:8" x14ac:dyDescent="0.2">
      <c r="A39" s="4">
        <v>35</v>
      </c>
      <c r="B39" s="4">
        <v>65</v>
      </c>
      <c r="C39" s="4">
        <v>30</v>
      </c>
      <c r="D39" s="4">
        <f t="shared" si="5"/>
        <v>4225</v>
      </c>
      <c r="E39" s="4">
        <f t="shared" si="6"/>
        <v>274625</v>
      </c>
      <c r="F39" s="4">
        <f t="shared" si="7"/>
        <v>17850625</v>
      </c>
      <c r="G39" s="4">
        <f t="shared" si="8"/>
        <v>1950</v>
      </c>
      <c r="H39" s="4">
        <f t="shared" si="9"/>
        <v>126750</v>
      </c>
    </row>
    <row r="40" spans="1:8" x14ac:dyDescent="0.2">
      <c r="A40" s="4">
        <v>36</v>
      </c>
      <c r="B40" s="4">
        <v>64</v>
      </c>
      <c r="C40" s="4">
        <v>30</v>
      </c>
      <c r="D40" s="4">
        <f t="shared" si="5"/>
        <v>4096</v>
      </c>
      <c r="E40" s="4">
        <f t="shared" si="6"/>
        <v>262144</v>
      </c>
      <c r="F40" s="4">
        <f t="shared" si="7"/>
        <v>16777216</v>
      </c>
      <c r="G40" s="4">
        <f t="shared" si="8"/>
        <v>1920</v>
      </c>
      <c r="H40" s="4">
        <f t="shared" si="9"/>
        <v>122880</v>
      </c>
    </row>
    <row r="41" spans="1:8" x14ac:dyDescent="0.2">
      <c r="A41" s="4">
        <v>37</v>
      </c>
      <c r="B41" s="4">
        <v>65</v>
      </c>
      <c r="C41" s="4">
        <v>30</v>
      </c>
      <c r="D41" s="4">
        <f t="shared" si="5"/>
        <v>4225</v>
      </c>
      <c r="E41" s="4">
        <f t="shared" si="6"/>
        <v>274625</v>
      </c>
      <c r="F41" s="4">
        <f t="shared" si="7"/>
        <v>17850625</v>
      </c>
      <c r="G41" s="4">
        <f t="shared" si="8"/>
        <v>1950</v>
      </c>
      <c r="H41" s="4">
        <f t="shared" si="9"/>
        <v>126750</v>
      </c>
    </row>
    <row r="42" spans="1:8" x14ac:dyDescent="0.2">
      <c r="A42" s="4">
        <v>38</v>
      </c>
      <c r="B42" s="4">
        <v>67</v>
      </c>
      <c r="C42" s="4">
        <v>30</v>
      </c>
      <c r="D42" s="4">
        <f t="shared" si="5"/>
        <v>4489</v>
      </c>
      <c r="E42" s="4">
        <f t="shared" si="6"/>
        <v>300763</v>
      </c>
      <c r="F42" s="4">
        <f t="shared" si="7"/>
        <v>20151121</v>
      </c>
      <c r="G42" s="4">
        <f t="shared" si="8"/>
        <v>2010</v>
      </c>
      <c r="H42" s="4">
        <f t="shared" si="9"/>
        <v>134670</v>
      </c>
    </row>
    <row r="43" spans="1:8" x14ac:dyDescent="0.2">
      <c r="A43" s="4">
        <v>39</v>
      </c>
      <c r="B43" s="4">
        <v>67</v>
      </c>
      <c r="C43" s="4">
        <v>30</v>
      </c>
      <c r="D43" s="4">
        <f t="shared" si="5"/>
        <v>4489</v>
      </c>
      <c r="E43" s="4">
        <f t="shared" si="6"/>
        <v>300763</v>
      </c>
      <c r="F43" s="4">
        <f t="shared" si="7"/>
        <v>20151121</v>
      </c>
      <c r="G43" s="4">
        <f t="shared" si="8"/>
        <v>2010</v>
      </c>
      <c r="H43" s="4">
        <f t="shared" si="9"/>
        <v>134670</v>
      </c>
    </row>
    <row r="44" spans="1:8" x14ac:dyDescent="0.2">
      <c r="A44" s="4">
        <v>40</v>
      </c>
      <c r="B44" s="4">
        <v>65</v>
      </c>
      <c r="C44" s="4">
        <v>30</v>
      </c>
      <c r="D44" s="4">
        <f t="shared" si="5"/>
        <v>4225</v>
      </c>
      <c r="E44" s="4">
        <f t="shared" si="6"/>
        <v>274625</v>
      </c>
      <c r="F44" s="4">
        <f t="shared" si="7"/>
        <v>17850625</v>
      </c>
      <c r="G44" s="4">
        <f t="shared" si="8"/>
        <v>1950</v>
      </c>
      <c r="H44" s="4">
        <f t="shared" si="9"/>
        <v>126750</v>
      </c>
    </row>
    <row r="45" spans="1:8" x14ac:dyDescent="0.2">
      <c r="A45" s="4">
        <v>41</v>
      </c>
      <c r="B45" s="4">
        <v>68</v>
      </c>
      <c r="C45" s="4">
        <v>30</v>
      </c>
      <c r="D45" s="4">
        <f t="shared" si="5"/>
        <v>4624</v>
      </c>
      <c r="E45" s="4">
        <f t="shared" si="6"/>
        <v>314432</v>
      </c>
      <c r="F45" s="4">
        <f t="shared" si="7"/>
        <v>21381376</v>
      </c>
      <c r="G45" s="4">
        <f t="shared" si="8"/>
        <v>2040</v>
      </c>
      <c r="H45" s="4">
        <f t="shared" si="9"/>
        <v>138720</v>
      </c>
    </row>
    <row r="46" spans="1:8" x14ac:dyDescent="0.2">
      <c r="A46" s="4">
        <v>42</v>
      </c>
      <c r="B46" s="4">
        <v>67</v>
      </c>
      <c r="C46" s="4">
        <v>30</v>
      </c>
      <c r="D46" s="4">
        <f t="shared" si="5"/>
        <v>4489</v>
      </c>
      <c r="E46" s="4">
        <f t="shared" si="6"/>
        <v>300763</v>
      </c>
      <c r="F46" s="4">
        <f t="shared" si="7"/>
        <v>20151121</v>
      </c>
      <c r="G46" s="4">
        <f t="shared" si="8"/>
        <v>2010</v>
      </c>
      <c r="H46" s="4">
        <f t="shared" si="9"/>
        <v>134670</v>
      </c>
    </row>
    <row r="47" spans="1:8" x14ac:dyDescent="0.2">
      <c r="A47" s="4">
        <v>43</v>
      </c>
      <c r="B47" s="4">
        <v>65</v>
      </c>
      <c r="C47" s="4">
        <v>30</v>
      </c>
      <c r="D47" s="4">
        <f t="shared" si="5"/>
        <v>4225</v>
      </c>
      <c r="E47" s="4">
        <f t="shared" si="6"/>
        <v>274625</v>
      </c>
      <c r="F47" s="4">
        <f t="shared" si="7"/>
        <v>17850625</v>
      </c>
      <c r="G47" s="4">
        <f t="shared" si="8"/>
        <v>1950</v>
      </c>
      <c r="H47" s="4">
        <f t="shared" si="9"/>
        <v>126750</v>
      </c>
    </row>
    <row r="48" spans="1:8" x14ac:dyDescent="0.2">
      <c r="A48" s="4">
        <v>44</v>
      </c>
      <c r="B48" s="4">
        <v>67</v>
      </c>
      <c r="C48" s="4">
        <v>30</v>
      </c>
      <c r="D48" s="4">
        <f t="shared" si="5"/>
        <v>4489</v>
      </c>
      <c r="E48" s="4">
        <f t="shared" si="6"/>
        <v>300763</v>
      </c>
      <c r="F48" s="4">
        <f t="shared" si="7"/>
        <v>20151121</v>
      </c>
      <c r="G48" s="4">
        <f t="shared" si="8"/>
        <v>2010</v>
      </c>
      <c r="H48" s="4">
        <f t="shared" si="9"/>
        <v>134670</v>
      </c>
    </row>
    <row r="49" spans="1:8" x14ac:dyDescent="0.2">
      <c r="A49" s="4">
        <v>45</v>
      </c>
      <c r="B49" s="4">
        <v>68</v>
      </c>
      <c r="C49" s="4">
        <v>30</v>
      </c>
      <c r="D49" s="4">
        <f t="shared" si="5"/>
        <v>4624</v>
      </c>
      <c r="E49" s="4">
        <f t="shared" si="6"/>
        <v>314432</v>
      </c>
      <c r="F49" s="4">
        <f t="shared" si="7"/>
        <v>21381376</v>
      </c>
      <c r="G49" s="4">
        <f t="shared" si="8"/>
        <v>2040</v>
      </c>
      <c r="H49" s="4">
        <f t="shared" si="9"/>
        <v>138720</v>
      </c>
    </row>
    <row r="50" spans="1:8" x14ac:dyDescent="0.2">
      <c r="A50" s="4">
        <v>46</v>
      </c>
      <c r="B50" s="4">
        <v>67</v>
      </c>
      <c r="C50" s="4">
        <v>30</v>
      </c>
      <c r="D50" s="4">
        <f t="shared" si="5"/>
        <v>4489</v>
      </c>
      <c r="E50" s="4">
        <f t="shared" si="6"/>
        <v>300763</v>
      </c>
      <c r="F50" s="4">
        <f t="shared" si="7"/>
        <v>20151121</v>
      </c>
      <c r="G50" s="4">
        <f t="shared" si="8"/>
        <v>2010</v>
      </c>
      <c r="H50" s="4">
        <f t="shared" si="9"/>
        <v>134670</v>
      </c>
    </row>
    <row r="51" spans="1:8" x14ac:dyDescent="0.2">
      <c r="A51" s="4">
        <v>47</v>
      </c>
      <c r="B51" s="4">
        <v>68</v>
      </c>
      <c r="C51" s="4">
        <v>30</v>
      </c>
      <c r="D51" s="4">
        <f t="shared" si="5"/>
        <v>4624</v>
      </c>
      <c r="E51" s="4">
        <f t="shared" si="6"/>
        <v>314432</v>
      </c>
      <c r="F51" s="4">
        <f t="shared" si="7"/>
        <v>21381376</v>
      </c>
      <c r="G51" s="4">
        <f t="shared" si="8"/>
        <v>2040</v>
      </c>
      <c r="H51" s="4">
        <f t="shared" si="9"/>
        <v>138720</v>
      </c>
    </row>
    <row r="52" spans="1:8" x14ac:dyDescent="0.2">
      <c r="A52" s="4">
        <v>48</v>
      </c>
      <c r="B52" s="4">
        <v>69</v>
      </c>
      <c r="C52" s="4">
        <v>30</v>
      </c>
      <c r="D52" s="4">
        <f t="shared" si="5"/>
        <v>4761</v>
      </c>
      <c r="E52" s="4">
        <f t="shared" si="6"/>
        <v>328509</v>
      </c>
      <c r="F52" s="4">
        <f t="shared" si="7"/>
        <v>22667121</v>
      </c>
      <c r="G52" s="4">
        <f t="shared" si="8"/>
        <v>2070</v>
      </c>
      <c r="H52" s="4">
        <f t="shared" si="9"/>
        <v>142830</v>
      </c>
    </row>
    <row r="53" spans="1:8" x14ac:dyDescent="0.2">
      <c r="A53" s="4">
        <v>49</v>
      </c>
      <c r="B53" s="4">
        <v>68</v>
      </c>
      <c r="C53" s="4">
        <v>30</v>
      </c>
      <c r="D53" s="4">
        <f t="shared" si="5"/>
        <v>4624</v>
      </c>
      <c r="E53" s="4">
        <f t="shared" si="6"/>
        <v>314432</v>
      </c>
      <c r="F53" s="4">
        <f t="shared" si="7"/>
        <v>21381376</v>
      </c>
      <c r="G53" s="4">
        <f t="shared" si="8"/>
        <v>2040</v>
      </c>
      <c r="H53" s="4">
        <f t="shared" si="9"/>
        <v>138720</v>
      </c>
    </row>
    <row r="54" spans="1:8" x14ac:dyDescent="0.2">
      <c r="A54" s="4">
        <v>50</v>
      </c>
      <c r="B54" s="4">
        <v>67</v>
      </c>
      <c r="C54" s="4">
        <v>30</v>
      </c>
      <c r="D54" s="4">
        <f t="shared" si="5"/>
        <v>4489</v>
      </c>
      <c r="E54" s="4">
        <f t="shared" si="6"/>
        <v>300763</v>
      </c>
      <c r="F54" s="4">
        <f t="shared" si="7"/>
        <v>20151121</v>
      </c>
      <c r="G54" s="4">
        <f t="shared" si="8"/>
        <v>2010</v>
      </c>
      <c r="H54" s="4">
        <f t="shared" si="9"/>
        <v>134670</v>
      </c>
    </row>
    <row r="55" spans="1:8" x14ac:dyDescent="0.2">
      <c r="A55" s="4">
        <v>51</v>
      </c>
      <c r="B55" s="4">
        <v>74</v>
      </c>
      <c r="C55" s="4">
        <v>35</v>
      </c>
      <c r="D55" s="4">
        <f t="shared" si="5"/>
        <v>5476</v>
      </c>
      <c r="E55" s="4">
        <f t="shared" si="6"/>
        <v>405224</v>
      </c>
      <c r="F55" s="4">
        <f t="shared" si="7"/>
        <v>29986576</v>
      </c>
      <c r="G55" s="4">
        <f t="shared" si="8"/>
        <v>2590</v>
      </c>
      <c r="H55" s="4">
        <f t="shared" si="9"/>
        <v>191660</v>
      </c>
    </row>
    <row r="56" spans="1:8" x14ac:dyDescent="0.2">
      <c r="A56" s="4">
        <v>52</v>
      </c>
      <c r="B56" s="4">
        <v>73</v>
      </c>
      <c r="C56" s="4">
        <v>35</v>
      </c>
      <c r="D56" s="4">
        <f t="shared" si="5"/>
        <v>5329</v>
      </c>
      <c r="E56" s="4">
        <f t="shared" si="6"/>
        <v>389017</v>
      </c>
      <c r="F56" s="4">
        <f t="shared" si="7"/>
        <v>28398241</v>
      </c>
      <c r="G56" s="4">
        <f t="shared" si="8"/>
        <v>2555</v>
      </c>
      <c r="H56" s="4">
        <f t="shared" si="9"/>
        <v>186515</v>
      </c>
    </row>
    <row r="57" spans="1:8" x14ac:dyDescent="0.2">
      <c r="A57" s="4">
        <v>53</v>
      </c>
      <c r="B57" s="4">
        <v>72</v>
      </c>
      <c r="C57" s="4">
        <v>35</v>
      </c>
      <c r="D57" s="4">
        <f t="shared" si="5"/>
        <v>5184</v>
      </c>
      <c r="E57" s="4">
        <f t="shared" si="6"/>
        <v>373248</v>
      </c>
      <c r="F57" s="4">
        <f t="shared" si="7"/>
        <v>26873856</v>
      </c>
      <c r="G57" s="4">
        <f t="shared" si="8"/>
        <v>2520</v>
      </c>
      <c r="H57" s="4">
        <f t="shared" si="9"/>
        <v>181440</v>
      </c>
    </row>
    <row r="58" spans="1:8" x14ac:dyDescent="0.2">
      <c r="A58" s="4">
        <v>54</v>
      </c>
      <c r="B58" s="4">
        <v>74</v>
      </c>
      <c r="C58" s="4">
        <v>35</v>
      </c>
      <c r="D58" s="4">
        <f t="shared" si="5"/>
        <v>5476</v>
      </c>
      <c r="E58" s="4">
        <f t="shared" si="6"/>
        <v>405224</v>
      </c>
      <c r="F58" s="4">
        <f t="shared" si="7"/>
        <v>29986576</v>
      </c>
      <c r="G58" s="4">
        <f t="shared" si="8"/>
        <v>2590</v>
      </c>
      <c r="H58" s="4">
        <f t="shared" si="9"/>
        <v>191660</v>
      </c>
    </row>
    <row r="59" spans="1:8" x14ac:dyDescent="0.2">
      <c r="A59" s="4">
        <v>55</v>
      </c>
      <c r="B59" s="4">
        <v>75</v>
      </c>
      <c r="C59" s="4">
        <v>35</v>
      </c>
      <c r="D59" s="4">
        <f t="shared" si="5"/>
        <v>5625</v>
      </c>
      <c r="E59" s="4">
        <f t="shared" si="6"/>
        <v>421875</v>
      </c>
      <c r="F59" s="4">
        <f t="shared" si="7"/>
        <v>31640625</v>
      </c>
      <c r="G59" s="4">
        <f t="shared" si="8"/>
        <v>2625</v>
      </c>
      <c r="H59" s="4">
        <f t="shared" si="9"/>
        <v>196875</v>
      </c>
    </row>
    <row r="60" spans="1:8" x14ac:dyDescent="0.2">
      <c r="A60" s="4">
        <v>56</v>
      </c>
      <c r="B60" s="4">
        <v>74</v>
      </c>
      <c r="C60" s="4">
        <v>35</v>
      </c>
      <c r="D60" s="4">
        <f t="shared" si="5"/>
        <v>5476</v>
      </c>
      <c r="E60" s="4">
        <f t="shared" si="6"/>
        <v>405224</v>
      </c>
      <c r="F60" s="4">
        <f t="shared" si="7"/>
        <v>29986576</v>
      </c>
      <c r="G60" s="4">
        <f t="shared" si="8"/>
        <v>2590</v>
      </c>
      <c r="H60" s="4">
        <f t="shared" si="9"/>
        <v>191660</v>
      </c>
    </row>
    <row r="61" spans="1:8" x14ac:dyDescent="0.2">
      <c r="A61" s="4">
        <v>57</v>
      </c>
      <c r="B61" s="4">
        <v>73</v>
      </c>
      <c r="C61" s="4">
        <v>35</v>
      </c>
      <c r="D61" s="4">
        <f t="shared" si="5"/>
        <v>5329</v>
      </c>
      <c r="E61" s="4">
        <f t="shared" si="6"/>
        <v>389017</v>
      </c>
      <c r="F61" s="4">
        <f t="shared" si="7"/>
        <v>28398241</v>
      </c>
      <c r="G61" s="4">
        <f t="shared" si="8"/>
        <v>2555</v>
      </c>
      <c r="H61" s="4">
        <f t="shared" si="9"/>
        <v>186515</v>
      </c>
    </row>
    <row r="62" spans="1:8" x14ac:dyDescent="0.2">
      <c r="A62" s="4">
        <v>58</v>
      </c>
      <c r="B62" s="4">
        <v>74</v>
      </c>
      <c r="C62" s="4">
        <v>35</v>
      </c>
      <c r="D62" s="4">
        <f t="shared" si="5"/>
        <v>5476</v>
      </c>
      <c r="E62" s="4">
        <f t="shared" si="6"/>
        <v>405224</v>
      </c>
      <c r="F62" s="4">
        <f t="shared" si="7"/>
        <v>29986576</v>
      </c>
      <c r="G62" s="4">
        <f t="shared" si="8"/>
        <v>2590</v>
      </c>
      <c r="H62" s="4">
        <f t="shared" si="9"/>
        <v>191660</v>
      </c>
    </row>
    <row r="63" spans="1:8" x14ac:dyDescent="0.2">
      <c r="A63" s="4">
        <v>59</v>
      </c>
      <c r="B63" s="4">
        <v>75</v>
      </c>
      <c r="C63" s="4">
        <v>35</v>
      </c>
      <c r="D63" s="4">
        <f t="shared" si="5"/>
        <v>5625</v>
      </c>
      <c r="E63" s="4">
        <f t="shared" si="6"/>
        <v>421875</v>
      </c>
      <c r="F63" s="4">
        <f t="shared" si="7"/>
        <v>31640625</v>
      </c>
      <c r="G63" s="4">
        <f t="shared" si="8"/>
        <v>2625</v>
      </c>
      <c r="H63" s="4">
        <f t="shared" si="9"/>
        <v>196875</v>
      </c>
    </row>
    <row r="64" spans="1:8" x14ac:dyDescent="0.2">
      <c r="A64" s="4">
        <v>60</v>
      </c>
      <c r="B64" s="4">
        <v>76</v>
      </c>
      <c r="C64" s="4">
        <v>35</v>
      </c>
      <c r="D64" s="4">
        <f t="shared" si="5"/>
        <v>5776</v>
      </c>
      <c r="E64" s="4">
        <f t="shared" si="6"/>
        <v>438976</v>
      </c>
      <c r="F64" s="4">
        <f t="shared" si="7"/>
        <v>33362176</v>
      </c>
      <c r="G64" s="4">
        <f t="shared" si="8"/>
        <v>2660</v>
      </c>
      <c r="H64" s="4">
        <f t="shared" si="9"/>
        <v>202160</v>
      </c>
    </row>
    <row r="65" spans="1:8" x14ac:dyDescent="0.2">
      <c r="A65" s="4">
        <v>61</v>
      </c>
      <c r="B65" s="4">
        <v>75</v>
      </c>
      <c r="C65" s="4">
        <v>35</v>
      </c>
      <c r="D65" s="4">
        <f t="shared" si="5"/>
        <v>5625</v>
      </c>
      <c r="E65" s="4">
        <f t="shared" si="6"/>
        <v>421875</v>
      </c>
      <c r="F65" s="4">
        <f t="shared" si="7"/>
        <v>31640625</v>
      </c>
      <c r="G65" s="4">
        <f t="shared" si="8"/>
        <v>2625</v>
      </c>
      <c r="H65" s="4">
        <f t="shared" si="9"/>
        <v>196875</v>
      </c>
    </row>
    <row r="66" spans="1:8" x14ac:dyDescent="0.2">
      <c r="A66" s="4">
        <v>62</v>
      </c>
      <c r="B66" s="4">
        <v>74</v>
      </c>
      <c r="C66" s="4">
        <v>35</v>
      </c>
      <c r="D66" s="4">
        <f t="shared" si="5"/>
        <v>5476</v>
      </c>
      <c r="E66" s="4">
        <f t="shared" si="6"/>
        <v>405224</v>
      </c>
      <c r="F66" s="4">
        <f t="shared" si="7"/>
        <v>29986576</v>
      </c>
      <c r="G66" s="4">
        <f t="shared" si="8"/>
        <v>2590</v>
      </c>
      <c r="H66" s="4">
        <f t="shared" si="9"/>
        <v>191660</v>
      </c>
    </row>
    <row r="67" spans="1:8" x14ac:dyDescent="0.2">
      <c r="A67" s="4">
        <v>63</v>
      </c>
      <c r="B67" s="4">
        <v>75</v>
      </c>
      <c r="C67" s="4">
        <v>35</v>
      </c>
      <c r="D67" s="4">
        <f t="shared" si="5"/>
        <v>5625</v>
      </c>
      <c r="E67" s="4">
        <f t="shared" si="6"/>
        <v>421875</v>
      </c>
      <c r="F67" s="4">
        <f t="shared" si="7"/>
        <v>31640625</v>
      </c>
      <c r="G67" s="4">
        <f t="shared" si="8"/>
        <v>2625</v>
      </c>
      <c r="H67" s="4">
        <f t="shared" si="9"/>
        <v>196875</v>
      </c>
    </row>
    <row r="68" spans="1:8" x14ac:dyDescent="0.2">
      <c r="A68" s="4">
        <v>64</v>
      </c>
      <c r="B68" s="4">
        <v>73</v>
      </c>
      <c r="C68" s="4">
        <v>35</v>
      </c>
      <c r="D68" s="4">
        <f t="shared" si="5"/>
        <v>5329</v>
      </c>
      <c r="E68" s="4">
        <f t="shared" si="6"/>
        <v>389017</v>
      </c>
      <c r="F68" s="4">
        <f t="shared" si="7"/>
        <v>28398241</v>
      </c>
      <c r="G68" s="4">
        <f t="shared" si="8"/>
        <v>2555</v>
      </c>
      <c r="H68" s="4">
        <f t="shared" si="9"/>
        <v>186515</v>
      </c>
    </row>
    <row r="69" spans="1:8" x14ac:dyDescent="0.2">
      <c r="A69" s="4">
        <v>65</v>
      </c>
      <c r="B69" s="4">
        <v>74</v>
      </c>
      <c r="C69" s="4">
        <v>35</v>
      </c>
      <c r="D69" s="4">
        <f t="shared" ref="D69:D102" si="10">B69^2</f>
        <v>5476</v>
      </c>
      <c r="E69" s="4">
        <f t="shared" ref="E69:E102" si="11">B69^3</f>
        <v>405224</v>
      </c>
      <c r="F69" s="4">
        <f t="shared" ref="F69:F102" si="12">B69^4</f>
        <v>29986576</v>
      </c>
      <c r="G69" s="4">
        <f t="shared" ref="G69:G102" si="13">B69*C69</f>
        <v>2590</v>
      </c>
      <c r="H69" s="4">
        <f t="shared" ref="H69:H102" si="14">D69*C69</f>
        <v>191660</v>
      </c>
    </row>
    <row r="70" spans="1:8" x14ac:dyDescent="0.2">
      <c r="A70" s="4">
        <v>66</v>
      </c>
      <c r="B70" s="4">
        <v>75</v>
      </c>
      <c r="C70" s="4">
        <v>35</v>
      </c>
      <c r="D70" s="4">
        <f t="shared" si="10"/>
        <v>5625</v>
      </c>
      <c r="E70" s="4">
        <f t="shared" si="11"/>
        <v>421875</v>
      </c>
      <c r="F70" s="4">
        <f t="shared" si="12"/>
        <v>31640625</v>
      </c>
      <c r="G70" s="4">
        <f t="shared" si="13"/>
        <v>2625</v>
      </c>
      <c r="H70" s="4">
        <f t="shared" si="14"/>
        <v>196875</v>
      </c>
    </row>
    <row r="71" spans="1:8" x14ac:dyDescent="0.2">
      <c r="A71" s="4">
        <v>67</v>
      </c>
      <c r="B71" s="4">
        <v>74</v>
      </c>
      <c r="C71" s="4">
        <v>35</v>
      </c>
      <c r="D71" s="4">
        <f t="shared" si="10"/>
        <v>5476</v>
      </c>
      <c r="E71" s="4">
        <f t="shared" si="11"/>
        <v>405224</v>
      </c>
      <c r="F71" s="4">
        <f t="shared" si="12"/>
        <v>29986576</v>
      </c>
      <c r="G71" s="4">
        <f t="shared" si="13"/>
        <v>2590</v>
      </c>
      <c r="H71" s="4">
        <f t="shared" si="14"/>
        <v>191660</v>
      </c>
    </row>
    <row r="72" spans="1:8" x14ac:dyDescent="0.2">
      <c r="A72" s="4">
        <v>68</v>
      </c>
      <c r="B72" s="4">
        <v>75</v>
      </c>
      <c r="C72" s="4">
        <v>35</v>
      </c>
      <c r="D72" s="4">
        <f t="shared" si="10"/>
        <v>5625</v>
      </c>
      <c r="E72" s="4">
        <f t="shared" si="11"/>
        <v>421875</v>
      </c>
      <c r="F72" s="4">
        <f t="shared" si="12"/>
        <v>31640625</v>
      </c>
      <c r="G72" s="4">
        <f t="shared" si="13"/>
        <v>2625</v>
      </c>
      <c r="H72" s="4">
        <f t="shared" si="14"/>
        <v>196875</v>
      </c>
    </row>
    <row r="73" spans="1:8" x14ac:dyDescent="0.2">
      <c r="A73" s="4">
        <v>69</v>
      </c>
      <c r="B73" s="4">
        <v>73</v>
      </c>
      <c r="C73" s="4">
        <v>35</v>
      </c>
      <c r="D73" s="4">
        <f t="shared" si="10"/>
        <v>5329</v>
      </c>
      <c r="E73" s="4">
        <f t="shared" si="11"/>
        <v>389017</v>
      </c>
      <c r="F73" s="4">
        <f t="shared" si="12"/>
        <v>28398241</v>
      </c>
      <c r="G73" s="4">
        <f t="shared" si="13"/>
        <v>2555</v>
      </c>
      <c r="H73" s="4">
        <f t="shared" si="14"/>
        <v>186515</v>
      </c>
    </row>
    <row r="74" spans="1:8" x14ac:dyDescent="0.2">
      <c r="A74" s="4">
        <v>70</v>
      </c>
      <c r="B74" s="4">
        <v>70</v>
      </c>
      <c r="C74" s="4">
        <v>35</v>
      </c>
      <c r="D74" s="4">
        <f t="shared" si="10"/>
        <v>4900</v>
      </c>
      <c r="E74" s="4">
        <f t="shared" si="11"/>
        <v>343000</v>
      </c>
      <c r="F74" s="4">
        <f t="shared" si="12"/>
        <v>24010000</v>
      </c>
      <c r="G74" s="4">
        <f t="shared" si="13"/>
        <v>2450</v>
      </c>
      <c r="H74" s="4">
        <f t="shared" si="14"/>
        <v>171500</v>
      </c>
    </row>
    <row r="75" spans="1:8" x14ac:dyDescent="0.2">
      <c r="A75" s="4">
        <v>71</v>
      </c>
      <c r="B75" s="4">
        <v>84</v>
      </c>
      <c r="C75" s="4">
        <v>40</v>
      </c>
      <c r="D75" s="4">
        <f t="shared" si="10"/>
        <v>7056</v>
      </c>
      <c r="E75" s="4">
        <f t="shared" si="11"/>
        <v>592704</v>
      </c>
      <c r="F75" s="4">
        <f t="shared" si="12"/>
        <v>49787136</v>
      </c>
      <c r="G75" s="4">
        <f t="shared" si="13"/>
        <v>3360</v>
      </c>
      <c r="H75" s="4">
        <f t="shared" si="14"/>
        <v>282240</v>
      </c>
    </row>
    <row r="76" spans="1:8" x14ac:dyDescent="0.2">
      <c r="A76" s="4">
        <v>72</v>
      </c>
      <c r="B76" s="4">
        <v>85</v>
      </c>
      <c r="C76" s="4">
        <v>40</v>
      </c>
      <c r="D76" s="4">
        <f t="shared" si="10"/>
        <v>7225</v>
      </c>
      <c r="E76" s="4">
        <f t="shared" si="11"/>
        <v>614125</v>
      </c>
      <c r="F76" s="4">
        <f t="shared" si="12"/>
        <v>52200625</v>
      </c>
      <c r="G76" s="4">
        <f t="shared" si="13"/>
        <v>3400</v>
      </c>
      <c r="H76" s="4">
        <f t="shared" si="14"/>
        <v>289000</v>
      </c>
    </row>
    <row r="77" spans="1:8" x14ac:dyDescent="0.2">
      <c r="A77" s="4">
        <v>73</v>
      </c>
      <c r="B77" s="4">
        <v>86</v>
      </c>
      <c r="C77" s="4">
        <v>40</v>
      </c>
      <c r="D77" s="4">
        <f t="shared" si="10"/>
        <v>7396</v>
      </c>
      <c r="E77" s="4">
        <f t="shared" si="11"/>
        <v>636056</v>
      </c>
      <c r="F77" s="4">
        <f t="shared" si="12"/>
        <v>54700816</v>
      </c>
      <c r="G77" s="4">
        <f t="shared" si="13"/>
        <v>3440</v>
      </c>
      <c r="H77" s="4">
        <f t="shared" si="14"/>
        <v>295840</v>
      </c>
    </row>
    <row r="78" spans="1:8" x14ac:dyDescent="0.2">
      <c r="A78" s="4">
        <v>74</v>
      </c>
      <c r="B78" s="4">
        <v>83</v>
      </c>
      <c r="C78" s="4">
        <v>40</v>
      </c>
      <c r="D78" s="4">
        <f t="shared" si="10"/>
        <v>6889</v>
      </c>
      <c r="E78" s="4">
        <f t="shared" si="11"/>
        <v>571787</v>
      </c>
      <c r="F78" s="4">
        <f t="shared" si="12"/>
        <v>47458321</v>
      </c>
      <c r="G78" s="4">
        <f t="shared" si="13"/>
        <v>3320</v>
      </c>
      <c r="H78" s="4">
        <f t="shared" si="14"/>
        <v>275560</v>
      </c>
    </row>
    <row r="79" spans="1:8" x14ac:dyDescent="0.2">
      <c r="A79" s="4">
        <v>75</v>
      </c>
      <c r="B79" s="4">
        <v>84</v>
      </c>
      <c r="C79" s="4">
        <v>40</v>
      </c>
      <c r="D79" s="4">
        <f t="shared" si="10"/>
        <v>7056</v>
      </c>
      <c r="E79" s="4">
        <f t="shared" si="11"/>
        <v>592704</v>
      </c>
      <c r="F79" s="4">
        <f t="shared" si="12"/>
        <v>49787136</v>
      </c>
      <c r="G79" s="4">
        <f t="shared" si="13"/>
        <v>3360</v>
      </c>
      <c r="H79" s="4">
        <f t="shared" si="14"/>
        <v>282240</v>
      </c>
    </row>
    <row r="80" spans="1:8" x14ac:dyDescent="0.2">
      <c r="A80" s="4">
        <v>76</v>
      </c>
      <c r="B80" s="4">
        <v>86</v>
      </c>
      <c r="C80" s="4">
        <v>40</v>
      </c>
      <c r="D80" s="4">
        <f t="shared" si="10"/>
        <v>7396</v>
      </c>
      <c r="E80" s="4">
        <f t="shared" si="11"/>
        <v>636056</v>
      </c>
      <c r="F80" s="4">
        <f t="shared" si="12"/>
        <v>54700816</v>
      </c>
      <c r="G80" s="4">
        <f t="shared" si="13"/>
        <v>3440</v>
      </c>
      <c r="H80" s="4">
        <f t="shared" si="14"/>
        <v>295840</v>
      </c>
    </row>
    <row r="81" spans="1:8" x14ac:dyDescent="0.2">
      <c r="A81" s="4">
        <v>77</v>
      </c>
      <c r="B81" s="4">
        <v>82</v>
      </c>
      <c r="C81" s="4">
        <v>40</v>
      </c>
      <c r="D81" s="4">
        <f t="shared" si="10"/>
        <v>6724</v>
      </c>
      <c r="E81" s="4">
        <f t="shared" si="11"/>
        <v>551368</v>
      </c>
      <c r="F81" s="4">
        <f t="shared" si="12"/>
        <v>45212176</v>
      </c>
      <c r="G81" s="4">
        <f t="shared" si="13"/>
        <v>3280</v>
      </c>
      <c r="H81" s="4">
        <f t="shared" si="14"/>
        <v>268960</v>
      </c>
    </row>
    <row r="82" spans="1:8" x14ac:dyDescent="0.2">
      <c r="A82" s="4">
        <v>78</v>
      </c>
      <c r="B82" s="4">
        <v>81</v>
      </c>
      <c r="C82" s="4">
        <v>40</v>
      </c>
      <c r="D82" s="4">
        <f t="shared" si="10"/>
        <v>6561</v>
      </c>
      <c r="E82" s="4">
        <f t="shared" si="11"/>
        <v>531441</v>
      </c>
      <c r="F82" s="4">
        <f t="shared" si="12"/>
        <v>43046721</v>
      </c>
      <c r="G82" s="4">
        <f t="shared" si="13"/>
        <v>3240</v>
      </c>
      <c r="H82" s="4">
        <f t="shared" si="14"/>
        <v>262440</v>
      </c>
    </row>
    <row r="83" spans="1:8" x14ac:dyDescent="0.2">
      <c r="A83" s="4">
        <v>79</v>
      </c>
      <c r="B83" s="4">
        <v>84</v>
      </c>
      <c r="C83" s="4">
        <v>40</v>
      </c>
      <c r="D83" s="4">
        <f t="shared" si="10"/>
        <v>7056</v>
      </c>
      <c r="E83" s="4">
        <f t="shared" si="11"/>
        <v>592704</v>
      </c>
      <c r="F83" s="4">
        <f t="shared" si="12"/>
        <v>49787136</v>
      </c>
      <c r="G83" s="4">
        <f t="shared" si="13"/>
        <v>3360</v>
      </c>
      <c r="H83" s="4">
        <f t="shared" si="14"/>
        <v>282240</v>
      </c>
    </row>
    <row r="84" spans="1:8" x14ac:dyDescent="0.2">
      <c r="A84" s="4">
        <v>80</v>
      </c>
      <c r="B84" s="4">
        <v>83</v>
      </c>
      <c r="C84" s="4">
        <v>40</v>
      </c>
      <c r="D84" s="4">
        <f t="shared" si="10"/>
        <v>6889</v>
      </c>
      <c r="E84" s="4">
        <f t="shared" si="11"/>
        <v>571787</v>
      </c>
      <c r="F84" s="4">
        <f t="shared" si="12"/>
        <v>47458321</v>
      </c>
      <c r="G84" s="4">
        <f t="shared" si="13"/>
        <v>3320</v>
      </c>
      <c r="H84" s="4">
        <f t="shared" si="14"/>
        <v>275560</v>
      </c>
    </row>
    <row r="85" spans="1:8" x14ac:dyDescent="0.2">
      <c r="A85" s="4">
        <v>81</v>
      </c>
      <c r="B85" s="4">
        <v>84</v>
      </c>
      <c r="C85" s="4">
        <v>40</v>
      </c>
      <c r="D85" s="4">
        <f t="shared" si="10"/>
        <v>7056</v>
      </c>
      <c r="E85" s="4">
        <f t="shared" si="11"/>
        <v>592704</v>
      </c>
      <c r="F85" s="4">
        <f t="shared" si="12"/>
        <v>49787136</v>
      </c>
      <c r="G85" s="4">
        <f t="shared" si="13"/>
        <v>3360</v>
      </c>
      <c r="H85" s="4">
        <f t="shared" si="14"/>
        <v>282240</v>
      </c>
    </row>
    <row r="86" spans="1:8" x14ac:dyDescent="0.2">
      <c r="A86" s="4">
        <v>82</v>
      </c>
      <c r="B86" s="4">
        <v>85</v>
      </c>
      <c r="C86" s="4">
        <v>40</v>
      </c>
      <c r="D86" s="4">
        <f t="shared" si="10"/>
        <v>7225</v>
      </c>
      <c r="E86" s="4">
        <f t="shared" si="11"/>
        <v>614125</v>
      </c>
      <c r="F86" s="4">
        <f t="shared" si="12"/>
        <v>52200625</v>
      </c>
      <c r="G86" s="4">
        <f t="shared" si="13"/>
        <v>3400</v>
      </c>
      <c r="H86" s="4">
        <f t="shared" si="14"/>
        <v>289000</v>
      </c>
    </row>
    <row r="87" spans="1:8" x14ac:dyDescent="0.2">
      <c r="A87" s="4">
        <v>83</v>
      </c>
      <c r="B87" s="4">
        <v>83</v>
      </c>
      <c r="C87" s="4">
        <v>40</v>
      </c>
      <c r="D87" s="4">
        <f t="shared" si="10"/>
        <v>6889</v>
      </c>
      <c r="E87" s="4">
        <f t="shared" si="11"/>
        <v>571787</v>
      </c>
      <c r="F87" s="4">
        <f t="shared" si="12"/>
        <v>47458321</v>
      </c>
      <c r="G87" s="4">
        <f t="shared" si="13"/>
        <v>3320</v>
      </c>
      <c r="H87" s="4">
        <f t="shared" si="14"/>
        <v>275560</v>
      </c>
    </row>
    <row r="88" spans="1:8" x14ac:dyDescent="0.2">
      <c r="A88" s="4">
        <v>84</v>
      </c>
      <c r="B88" s="4">
        <v>81</v>
      </c>
      <c r="C88" s="4">
        <v>40</v>
      </c>
      <c r="D88" s="4">
        <f t="shared" si="10"/>
        <v>6561</v>
      </c>
      <c r="E88" s="4">
        <f t="shared" si="11"/>
        <v>531441</v>
      </c>
      <c r="F88" s="4">
        <f t="shared" si="12"/>
        <v>43046721</v>
      </c>
      <c r="G88" s="4">
        <f t="shared" si="13"/>
        <v>3240</v>
      </c>
      <c r="H88" s="4">
        <f t="shared" si="14"/>
        <v>262440</v>
      </c>
    </row>
    <row r="89" spans="1:8" x14ac:dyDescent="0.2">
      <c r="A89" s="4">
        <v>85</v>
      </c>
      <c r="B89" s="4">
        <v>82</v>
      </c>
      <c r="C89" s="4">
        <v>40</v>
      </c>
      <c r="D89" s="4">
        <f t="shared" si="10"/>
        <v>6724</v>
      </c>
      <c r="E89" s="4">
        <f t="shared" si="11"/>
        <v>551368</v>
      </c>
      <c r="F89" s="4">
        <f t="shared" si="12"/>
        <v>45212176</v>
      </c>
      <c r="G89" s="4">
        <f t="shared" si="13"/>
        <v>3280</v>
      </c>
      <c r="H89" s="4">
        <f t="shared" si="14"/>
        <v>268960</v>
      </c>
    </row>
    <row r="90" spans="1:8" x14ac:dyDescent="0.2">
      <c r="A90" s="4">
        <v>86</v>
      </c>
      <c r="B90" s="4">
        <v>81</v>
      </c>
      <c r="C90" s="4">
        <v>40</v>
      </c>
      <c r="D90" s="4">
        <f t="shared" si="10"/>
        <v>6561</v>
      </c>
      <c r="E90" s="4">
        <f t="shared" si="11"/>
        <v>531441</v>
      </c>
      <c r="F90" s="4">
        <f t="shared" si="12"/>
        <v>43046721</v>
      </c>
      <c r="G90" s="4">
        <f t="shared" si="13"/>
        <v>3240</v>
      </c>
      <c r="H90" s="4">
        <f t="shared" si="14"/>
        <v>262440</v>
      </c>
    </row>
    <row r="91" spans="1:8" x14ac:dyDescent="0.2">
      <c r="A91" s="4">
        <v>87</v>
      </c>
      <c r="B91" s="4">
        <v>80</v>
      </c>
      <c r="C91" s="4">
        <v>40</v>
      </c>
      <c r="D91" s="4">
        <f t="shared" si="10"/>
        <v>6400</v>
      </c>
      <c r="E91" s="4">
        <f t="shared" si="11"/>
        <v>512000</v>
      </c>
      <c r="F91" s="4">
        <f t="shared" si="12"/>
        <v>40960000</v>
      </c>
      <c r="G91" s="4">
        <f t="shared" si="13"/>
        <v>3200</v>
      </c>
      <c r="H91" s="4">
        <f t="shared" si="14"/>
        <v>256000</v>
      </c>
    </row>
    <row r="92" spans="1:8" x14ac:dyDescent="0.2">
      <c r="A92" s="4">
        <v>88</v>
      </c>
      <c r="B92" s="4">
        <v>84</v>
      </c>
      <c r="C92" s="4">
        <v>40</v>
      </c>
      <c r="D92" s="4">
        <f t="shared" si="10"/>
        <v>7056</v>
      </c>
      <c r="E92" s="4">
        <f t="shared" si="11"/>
        <v>592704</v>
      </c>
      <c r="F92" s="4">
        <f t="shared" si="12"/>
        <v>49787136</v>
      </c>
      <c r="G92" s="4">
        <f t="shared" si="13"/>
        <v>3360</v>
      </c>
      <c r="H92" s="4">
        <f t="shared" si="14"/>
        <v>282240</v>
      </c>
    </row>
    <row r="93" spans="1:8" x14ac:dyDescent="0.2">
      <c r="A93" s="4">
        <v>89</v>
      </c>
      <c r="B93" s="4">
        <v>86</v>
      </c>
      <c r="C93" s="4">
        <v>40</v>
      </c>
      <c r="D93" s="4">
        <f t="shared" si="10"/>
        <v>7396</v>
      </c>
      <c r="E93" s="4">
        <f t="shared" si="11"/>
        <v>636056</v>
      </c>
      <c r="F93" s="4">
        <f t="shared" si="12"/>
        <v>54700816</v>
      </c>
      <c r="G93" s="4">
        <f t="shared" si="13"/>
        <v>3440</v>
      </c>
      <c r="H93" s="4">
        <f t="shared" si="14"/>
        <v>295840</v>
      </c>
    </row>
    <row r="94" spans="1:8" x14ac:dyDescent="0.2">
      <c r="A94" s="4">
        <v>90</v>
      </c>
      <c r="B94" s="4">
        <v>85</v>
      </c>
      <c r="C94" s="4">
        <v>40</v>
      </c>
      <c r="D94" s="4">
        <f t="shared" si="10"/>
        <v>7225</v>
      </c>
      <c r="E94" s="4">
        <f t="shared" si="11"/>
        <v>614125</v>
      </c>
      <c r="F94" s="4">
        <f t="shared" si="12"/>
        <v>52200625</v>
      </c>
      <c r="G94" s="4">
        <f t="shared" si="13"/>
        <v>3400</v>
      </c>
      <c r="H94" s="4">
        <f t="shared" si="14"/>
        <v>289000</v>
      </c>
    </row>
    <row r="95" spans="1:8" x14ac:dyDescent="0.2">
      <c r="A95" s="4">
        <v>91</v>
      </c>
      <c r="B95" s="4">
        <v>98</v>
      </c>
      <c r="C95" s="4">
        <v>50</v>
      </c>
      <c r="D95" s="4">
        <f t="shared" si="10"/>
        <v>9604</v>
      </c>
      <c r="E95" s="4">
        <f t="shared" si="11"/>
        <v>941192</v>
      </c>
      <c r="F95" s="4">
        <f t="shared" si="12"/>
        <v>92236816</v>
      </c>
      <c r="G95" s="4">
        <f t="shared" si="13"/>
        <v>4900</v>
      </c>
      <c r="H95" s="4">
        <f t="shared" si="14"/>
        <v>480200</v>
      </c>
    </row>
    <row r="96" spans="1:8" x14ac:dyDescent="0.2">
      <c r="A96" s="4">
        <v>92</v>
      </c>
      <c r="B96" s="4">
        <v>99</v>
      </c>
      <c r="C96" s="4">
        <v>50</v>
      </c>
      <c r="D96" s="4">
        <f t="shared" si="10"/>
        <v>9801</v>
      </c>
      <c r="E96" s="4">
        <f t="shared" si="11"/>
        <v>970299</v>
      </c>
      <c r="F96" s="4">
        <f t="shared" si="12"/>
        <v>96059601</v>
      </c>
      <c r="G96" s="4">
        <f t="shared" si="13"/>
        <v>4950</v>
      </c>
      <c r="H96" s="4">
        <f t="shared" si="14"/>
        <v>490050</v>
      </c>
    </row>
    <row r="97" spans="1:8" x14ac:dyDescent="0.2">
      <c r="A97" s="4">
        <v>93</v>
      </c>
      <c r="B97" s="4">
        <v>97</v>
      </c>
      <c r="C97" s="4">
        <v>50</v>
      </c>
      <c r="D97" s="4">
        <f t="shared" si="10"/>
        <v>9409</v>
      </c>
      <c r="E97" s="4">
        <f t="shared" si="11"/>
        <v>912673</v>
      </c>
      <c r="F97" s="4">
        <f t="shared" si="12"/>
        <v>88529281</v>
      </c>
      <c r="G97" s="4">
        <f t="shared" si="13"/>
        <v>4850</v>
      </c>
      <c r="H97" s="4">
        <f t="shared" si="14"/>
        <v>470450</v>
      </c>
    </row>
    <row r="98" spans="1:8" x14ac:dyDescent="0.2">
      <c r="A98" s="4">
        <v>94</v>
      </c>
      <c r="B98" s="4">
        <v>98</v>
      </c>
      <c r="C98" s="4">
        <v>50</v>
      </c>
      <c r="D98" s="4">
        <f t="shared" si="10"/>
        <v>9604</v>
      </c>
      <c r="E98" s="4">
        <f t="shared" si="11"/>
        <v>941192</v>
      </c>
      <c r="F98" s="4">
        <f t="shared" si="12"/>
        <v>92236816</v>
      </c>
      <c r="G98" s="4">
        <f t="shared" si="13"/>
        <v>4900</v>
      </c>
      <c r="H98" s="4">
        <f t="shared" si="14"/>
        <v>480200</v>
      </c>
    </row>
    <row r="99" spans="1:8" x14ac:dyDescent="0.2">
      <c r="A99" s="4">
        <v>95</v>
      </c>
      <c r="B99" s="4">
        <v>99</v>
      </c>
      <c r="C99" s="4">
        <v>50</v>
      </c>
      <c r="D99" s="4">
        <f t="shared" si="10"/>
        <v>9801</v>
      </c>
      <c r="E99" s="4">
        <f t="shared" si="11"/>
        <v>970299</v>
      </c>
      <c r="F99" s="4">
        <f t="shared" si="12"/>
        <v>96059601</v>
      </c>
      <c r="G99" s="4">
        <f t="shared" si="13"/>
        <v>4950</v>
      </c>
      <c r="H99" s="4">
        <f t="shared" si="14"/>
        <v>490050</v>
      </c>
    </row>
    <row r="100" spans="1:8" x14ac:dyDescent="0.2">
      <c r="A100" s="4">
        <v>96</v>
      </c>
      <c r="B100" s="4">
        <v>99</v>
      </c>
      <c r="C100" s="4">
        <v>50</v>
      </c>
      <c r="D100" s="4">
        <f t="shared" si="10"/>
        <v>9801</v>
      </c>
      <c r="E100" s="4">
        <f t="shared" si="11"/>
        <v>970299</v>
      </c>
      <c r="F100" s="4">
        <f t="shared" si="12"/>
        <v>96059601</v>
      </c>
      <c r="G100" s="4">
        <f t="shared" si="13"/>
        <v>4950</v>
      </c>
      <c r="H100" s="4">
        <f t="shared" si="14"/>
        <v>490050</v>
      </c>
    </row>
    <row r="101" spans="1:8" x14ac:dyDescent="0.2">
      <c r="A101" s="4">
        <v>97</v>
      </c>
      <c r="B101" s="4">
        <v>98</v>
      </c>
      <c r="C101" s="4">
        <v>50</v>
      </c>
      <c r="D101" s="4">
        <f t="shared" si="10"/>
        <v>9604</v>
      </c>
      <c r="E101" s="4">
        <f t="shared" si="11"/>
        <v>941192</v>
      </c>
      <c r="F101" s="4">
        <f t="shared" si="12"/>
        <v>92236816</v>
      </c>
      <c r="G101" s="4">
        <f t="shared" si="13"/>
        <v>4900</v>
      </c>
      <c r="H101" s="4">
        <f t="shared" si="14"/>
        <v>480200</v>
      </c>
    </row>
    <row r="102" spans="1:8" x14ac:dyDescent="0.2">
      <c r="A102" s="4">
        <v>98</v>
      </c>
      <c r="B102" s="4">
        <v>99</v>
      </c>
      <c r="C102" s="4">
        <v>50</v>
      </c>
      <c r="D102" s="4">
        <f t="shared" si="10"/>
        <v>9801</v>
      </c>
      <c r="E102" s="4">
        <f t="shared" si="11"/>
        <v>970299</v>
      </c>
      <c r="F102" s="4">
        <f t="shared" si="12"/>
        <v>96059601</v>
      </c>
      <c r="G102" s="4">
        <f t="shared" si="13"/>
        <v>4950</v>
      </c>
      <c r="H102" s="4">
        <f t="shared" si="14"/>
        <v>490050</v>
      </c>
    </row>
    <row r="103" spans="1:8" x14ac:dyDescent="0.2">
      <c r="A103" s="7" t="s">
        <v>16</v>
      </c>
      <c r="B103" s="7">
        <f t="shared" ref="B103:H103" si="15">SUM(B5:B102)</f>
        <v>6903</v>
      </c>
      <c r="C103" s="7">
        <f t="shared" si="15"/>
        <v>3200</v>
      </c>
      <c r="D103" s="7">
        <f t="shared" si="15"/>
        <v>504263</v>
      </c>
      <c r="E103" s="7">
        <f t="shared" si="15"/>
        <v>38149653</v>
      </c>
      <c r="F103" s="7">
        <f t="shared" si="15"/>
        <v>2982492899</v>
      </c>
      <c r="G103" s="7">
        <f t="shared" si="15"/>
        <v>236160</v>
      </c>
      <c r="H103" s="7">
        <f t="shared" si="15"/>
        <v>18036170</v>
      </c>
    </row>
    <row r="106" spans="1:8" x14ac:dyDescent="0.2">
      <c r="A106" s="6" t="s">
        <v>17</v>
      </c>
    </row>
    <row r="107" spans="1:8" x14ac:dyDescent="0.2">
      <c r="A107" s="6" t="s">
        <v>18</v>
      </c>
      <c r="B107">
        <f>((B2*G103)-(B103*C103)) / ((B2*D103)-(B103^2))</f>
        <v>0.59675095464414207</v>
      </c>
    </row>
    <row r="108" spans="1:8" x14ac:dyDescent="0.2">
      <c r="A108" s="6" t="s">
        <v>19</v>
      </c>
      <c r="B108">
        <f>(C103-B107*B103)/B2</f>
        <v>-9.3813453051889066</v>
      </c>
    </row>
    <row r="111" spans="1:8" x14ac:dyDescent="0.2">
      <c r="A111" s="6" t="s">
        <v>20</v>
      </c>
    </row>
    <row r="112" spans="1:8" x14ac:dyDescent="0.2">
      <c r="A112" s="6" t="s">
        <v>21</v>
      </c>
    </row>
    <row r="113" spans="1:6" x14ac:dyDescent="0.2">
      <c r="B113" s="8" t="s">
        <v>7</v>
      </c>
      <c r="C113" s="8" t="s">
        <v>22</v>
      </c>
      <c r="D113" s="8" t="s">
        <v>23</v>
      </c>
      <c r="F113" s="6" t="s">
        <v>24</v>
      </c>
    </row>
    <row r="114" spans="1:6" x14ac:dyDescent="0.2">
      <c r="A114" t="s">
        <v>25</v>
      </c>
      <c r="B114">
        <f>B2</f>
        <v>98</v>
      </c>
      <c r="C114">
        <f>B103</f>
        <v>6903</v>
      </c>
      <c r="D114">
        <f>D103</f>
        <v>504263</v>
      </c>
      <c r="F114">
        <f>C103</f>
        <v>3200</v>
      </c>
    </row>
    <row r="115" spans="1:6" x14ac:dyDescent="0.2">
      <c r="A115" t="s">
        <v>26</v>
      </c>
      <c r="B115">
        <f>B103</f>
        <v>6903</v>
      </c>
      <c r="C115">
        <f>D103</f>
        <v>504263</v>
      </c>
      <c r="D115">
        <f>E103</f>
        <v>38149653</v>
      </c>
      <c r="F115">
        <f>G103</f>
        <v>236160</v>
      </c>
    </row>
    <row r="116" spans="1:6" x14ac:dyDescent="0.2">
      <c r="A116" t="s">
        <v>27</v>
      </c>
      <c r="B116">
        <f>D103</f>
        <v>504263</v>
      </c>
      <c r="C116">
        <f>E103</f>
        <v>38149653</v>
      </c>
      <c r="D116">
        <f>F103</f>
        <v>2982492899</v>
      </c>
      <c r="F116">
        <f>H103</f>
        <v>18036170</v>
      </c>
    </row>
    <row r="118" spans="1:6" x14ac:dyDescent="0.2">
      <c r="A118" s="6" t="s">
        <v>28</v>
      </c>
    </row>
    <row r="119" spans="1:6" x14ac:dyDescent="0.2">
      <c r="A119" s="6" t="s">
        <v>29</v>
      </c>
      <c r="B119">
        <f>INDEX(MMULT(MINVERSE(B114:D116),F114:F116),1,1)</f>
        <v>-8.1172605565989215</v>
      </c>
    </row>
    <row r="120" spans="1:6" x14ac:dyDescent="0.2">
      <c r="A120" s="6" t="s">
        <v>30</v>
      </c>
      <c r="B120">
        <f>INDEX(MMULT(MINVERSE(B114:D116),F114:F116),2,1)</f>
        <v>0.56081365349450607</v>
      </c>
    </row>
    <row r="121" spans="1:6" x14ac:dyDescent="0.2">
      <c r="A121" s="6" t="s">
        <v>31</v>
      </c>
      <c r="B121">
        <f>INDEX(MMULT(MINVERSE(B114:D116),F114:F116),3,1)</f>
        <v>2.4628990124941907E-4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5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39</v>
      </c>
    </row>
    <row r="2" spans="1:8" x14ac:dyDescent="0.2">
      <c r="A2" s="6" t="s">
        <v>7</v>
      </c>
      <c r="B2">
        <v>92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100</v>
      </c>
      <c r="C5" s="4">
        <v>50</v>
      </c>
      <c r="D5" s="4">
        <f t="shared" ref="D5:D36" si="0">B5^2</f>
        <v>10000</v>
      </c>
      <c r="E5" s="4">
        <f t="shared" ref="E5:E36" si="1">B5^3</f>
        <v>1000000</v>
      </c>
      <c r="F5" s="4">
        <f t="shared" ref="F5:F36" si="2">B5^4</f>
        <v>100000000</v>
      </c>
      <c r="G5" s="4">
        <f t="shared" ref="G5:G36" si="3">B5*C5</f>
        <v>5000</v>
      </c>
      <c r="H5" s="4">
        <f t="shared" ref="H5:H36" si="4">D5*C5</f>
        <v>500000</v>
      </c>
    </row>
    <row r="6" spans="1:8" x14ac:dyDescent="0.2">
      <c r="A6" s="4">
        <v>2</v>
      </c>
      <c r="B6" s="4">
        <v>101</v>
      </c>
      <c r="C6" s="4">
        <v>50</v>
      </c>
      <c r="D6" s="4">
        <f t="shared" si="0"/>
        <v>10201</v>
      </c>
      <c r="E6" s="4">
        <f t="shared" si="1"/>
        <v>1030301</v>
      </c>
      <c r="F6" s="4">
        <f t="shared" si="2"/>
        <v>104060401</v>
      </c>
      <c r="G6" s="4">
        <f t="shared" si="3"/>
        <v>5050</v>
      </c>
      <c r="H6" s="4">
        <f t="shared" si="4"/>
        <v>510050</v>
      </c>
    </row>
    <row r="7" spans="1:8" x14ac:dyDescent="0.2">
      <c r="A7" s="4">
        <v>3</v>
      </c>
      <c r="B7" s="4">
        <v>100</v>
      </c>
      <c r="C7" s="4">
        <v>50</v>
      </c>
      <c r="D7" s="4">
        <f t="shared" si="0"/>
        <v>10000</v>
      </c>
      <c r="E7" s="4">
        <f t="shared" si="1"/>
        <v>1000000</v>
      </c>
      <c r="F7" s="4">
        <f t="shared" si="2"/>
        <v>100000000</v>
      </c>
      <c r="G7" s="4">
        <f t="shared" si="3"/>
        <v>5000</v>
      </c>
      <c r="H7" s="4">
        <f t="shared" si="4"/>
        <v>500000</v>
      </c>
    </row>
    <row r="8" spans="1:8" x14ac:dyDescent="0.2">
      <c r="A8" s="4">
        <v>4</v>
      </c>
      <c r="B8" s="4">
        <v>103</v>
      </c>
      <c r="C8" s="4">
        <v>50</v>
      </c>
      <c r="D8" s="4">
        <f t="shared" si="0"/>
        <v>10609</v>
      </c>
      <c r="E8" s="4">
        <f t="shared" si="1"/>
        <v>1092727</v>
      </c>
      <c r="F8" s="4">
        <f t="shared" si="2"/>
        <v>112550881</v>
      </c>
      <c r="G8" s="4">
        <f t="shared" si="3"/>
        <v>5150</v>
      </c>
      <c r="H8" s="4">
        <f t="shared" si="4"/>
        <v>530450</v>
      </c>
    </row>
    <row r="9" spans="1:8" x14ac:dyDescent="0.2">
      <c r="A9" s="4">
        <v>5</v>
      </c>
      <c r="B9" s="4">
        <v>100</v>
      </c>
      <c r="C9" s="4">
        <v>50</v>
      </c>
      <c r="D9" s="4">
        <f t="shared" si="0"/>
        <v>10000</v>
      </c>
      <c r="E9" s="4">
        <f t="shared" si="1"/>
        <v>1000000</v>
      </c>
      <c r="F9" s="4">
        <f t="shared" si="2"/>
        <v>100000000</v>
      </c>
      <c r="G9" s="4">
        <f t="shared" si="3"/>
        <v>5000</v>
      </c>
      <c r="H9" s="4">
        <f t="shared" si="4"/>
        <v>500000</v>
      </c>
    </row>
    <row r="10" spans="1:8" x14ac:dyDescent="0.2">
      <c r="A10" s="4">
        <v>6</v>
      </c>
      <c r="B10" s="4">
        <v>101</v>
      </c>
      <c r="C10" s="4">
        <v>50</v>
      </c>
      <c r="D10" s="4">
        <f t="shared" si="0"/>
        <v>10201</v>
      </c>
      <c r="E10" s="4">
        <f t="shared" si="1"/>
        <v>1030301</v>
      </c>
      <c r="F10" s="4">
        <f t="shared" si="2"/>
        <v>104060401</v>
      </c>
      <c r="G10" s="4">
        <f t="shared" si="3"/>
        <v>5050</v>
      </c>
      <c r="H10" s="4">
        <f t="shared" si="4"/>
        <v>510050</v>
      </c>
    </row>
    <row r="11" spans="1:8" x14ac:dyDescent="0.2">
      <c r="A11" s="4">
        <v>7</v>
      </c>
      <c r="B11" s="4">
        <v>102</v>
      </c>
      <c r="C11" s="4">
        <v>50</v>
      </c>
      <c r="D11" s="4">
        <f t="shared" si="0"/>
        <v>10404</v>
      </c>
      <c r="E11" s="4">
        <f t="shared" si="1"/>
        <v>1061208</v>
      </c>
      <c r="F11" s="4">
        <f t="shared" si="2"/>
        <v>108243216</v>
      </c>
      <c r="G11" s="4">
        <f t="shared" si="3"/>
        <v>5100</v>
      </c>
      <c r="H11" s="4">
        <f t="shared" si="4"/>
        <v>520200</v>
      </c>
    </row>
    <row r="12" spans="1:8" x14ac:dyDescent="0.2">
      <c r="A12" s="4">
        <v>8</v>
      </c>
      <c r="B12" s="4">
        <v>100</v>
      </c>
      <c r="C12" s="4">
        <v>50</v>
      </c>
      <c r="D12" s="4">
        <f t="shared" si="0"/>
        <v>10000</v>
      </c>
      <c r="E12" s="4">
        <f t="shared" si="1"/>
        <v>1000000</v>
      </c>
      <c r="F12" s="4">
        <f t="shared" si="2"/>
        <v>100000000</v>
      </c>
      <c r="G12" s="4">
        <f t="shared" si="3"/>
        <v>5000</v>
      </c>
      <c r="H12" s="4">
        <f t="shared" si="4"/>
        <v>500000</v>
      </c>
    </row>
    <row r="13" spans="1:8" x14ac:dyDescent="0.2">
      <c r="A13" s="4">
        <v>9</v>
      </c>
      <c r="B13" s="4">
        <v>104</v>
      </c>
      <c r="C13" s="4">
        <v>50</v>
      </c>
      <c r="D13" s="4">
        <f t="shared" si="0"/>
        <v>10816</v>
      </c>
      <c r="E13" s="4">
        <f t="shared" si="1"/>
        <v>1124864</v>
      </c>
      <c r="F13" s="4">
        <f t="shared" si="2"/>
        <v>116985856</v>
      </c>
      <c r="G13" s="4">
        <f t="shared" si="3"/>
        <v>5200</v>
      </c>
      <c r="H13" s="4">
        <f t="shared" si="4"/>
        <v>540800</v>
      </c>
    </row>
    <row r="14" spans="1:8" x14ac:dyDescent="0.2">
      <c r="A14" s="4">
        <v>10</v>
      </c>
      <c r="B14" s="4">
        <v>105</v>
      </c>
      <c r="C14" s="4">
        <v>50</v>
      </c>
      <c r="D14" s="4">
        <f t="shared" si="0"/>
        <v>11025</v>
      </c>
      <c r="E14" s="4">
        <f t="shared" si="1"/>
        <v>1157625</v>
      </c>
      <c r="F14" s="4">
        <f t="shared" si="2"/>
        <v>121550625</v>
      </c>
      <c r="G14" s="4">
        <f t="shared" si="3"/>
        <v>5250</v>
      </c>
      <c r="H14" s="4">
        <f t="shared" si="4"/>
        <v>551250</v>
      </c>
    </row>
    <row r="15" spans="1:8" x14ac:dyDescent="0.2">
      <c r="A15" s="4">
        <v>11</v>
      </c>
      <c r="B15" s="4">
        <v>101</v>
      </c>
      <c r="C15" s="4">
        <v>50</v>
      </c>
      <c r="D15" s="4">
        <f t="shared" si="0"/>
        <v>10201</v>
      </c>
      <c r="E15" s="4">
        <f t="shared" si="1"/>
        <v>1030301</v>
      </c>
      <c r="F15" s="4">
        <f t="shared" si="2"/>
        <v>104060401</v>
      </c>
      <c r="G15" s="4">
        <f t="shared" si="3"/>
        <v>5050</v>
      </c>
      <c r="H15" s="4">
        <f t="shared" si="4"/>
        <v>510050</v>
      </c>
    </row>
    <row r="16" spans="1:8" x14ac:dyDescent="0.2">
      <c r="A16" s="4">
        <v>12</v>
      </c>
      <c r="B16" s="4">
        <v>102</v>
      </c>
      <c r="C16" s="4">
        <v>50</v>
      </c>
      <c r="D16" s="4">
        <f t="shared" si="0"/>
        <v>10404</v>
      </c>
      <c r="E16" s="4">
        <f t="shared" si="1"/>
        <v>1061208</v>
      </c>
      <c r="F16" s="4">
        <f t="shared" si="2"/>
        <v>108243216</v>
      </c>
      <c r="G16" s="4">
        <f t="shared" si="3"/>
        <v>5100</v>
      </c>
      <c r="H16" s="4">
        <f t="shared" si="4"/>
        <v>520200</v>
      </c>
    </row>
    <row r="17" spans="1:8" x14ac:dyDescent="0.2">
      <c r="A17" s="4">
        <v>13</v>
      </c>
      <c r="B17" s="4">
        <v>106</v>
      </c>
      <c r="C17" s="4">
        <v>70</v>
      </c>
      <c r="D17" s="4">
        <f t="shared" si="0"/>
        <v>11236</v>
      </c>
      <c r="E17" s="4">
        <f t="shared" si="1"/>
        <v>1191016</v>
      </c>
      <c r="F17" s="4">
        <f t="shared" si="2"/>
        <v>126247696</v>
      </c>
      <c r="G17" s="4">
        <f t="shared" si="3"/>
        <v>7420</v>
      </c>
      <c r="H17" s="4">
        <f t="shared" si="4"/>
        <v>786520</v>
      </c>
    </row>
    <row r="18" spans="1:8" x14ac:dyDescent="0.2">
      <c r="A18" s="4">
        <v>14</v>
      </c>
      <c r="B18" s="4">
        <v>107</v>
      </c>
      <c r="C18" s="4">
        <v>70</v>
      </c>
      <c r="D18" s="4">
        <f t="shared" si="0"/>
        <v>11449</v>
      </c>
      <c r="E18" s="4">
        <f t="shared" si="1"/>
        <v>1225043</v>
      </c>
      <c r="F18" s="4">
        <f t="shared" si="2"/>
        <v>131079601</v>
      </c>
      <c r="G18" s="4">
        <f t="shared" si="3"/>
        <v>7490</v>
      </c>
      <c r="H18" s="4">
        <f t="shared" si="4"/>
        <v>801430</v>
      </c>
    </row>
    <row r="19" spans="1:8" x14ac:dyDescent="0.2">
      <c r="A19" s="4">
        <v>15</v>
      </c>
      <c r="B19" s="4">
        <v>105</v>
      </c>
      <c r="C19" s="4">
        <v>70</v>
      </c>
      <c r="D19" s="4">
        <f t="shared" si="0"/>
        <v>11025</v>
      </c>
      <c r="E19" s="4">
        <f t="shared" si="1"/>
        <v>1157625</v>
      </c>
      <c r="F19" s="4">
        <f t="shared" si="2"/>
        <v>121550625</v>
      </c>
      <c r="G19" s="4">
        <f t="shared" si="3"/>
        <v>7350</v>
      </c>
      <c r="H19" s="4">
        <f t="shared" si="4"/>
        <v>771750</v>
      </c>
    </row>
    <row r="20" spans="1:8" x14ac:dyDescent="0.2">
      <c r="A20" s="4">
        <v>16</v>
      </c>
      <c r="B20" s="4">
        <v>109</v>
      </c>
      <c r="C20" s="4">
        <v>70</v>
      </c>
      <c r="D20" s="4">
        <f t="shared" si="0"/>
        <v>11881</v>
      </c>
      <c r="E20" s="4">
        <f t="shared" si="1"/>
        <v>1295029</v>
      </c>
      <c r="F20" s="4">
        <f t="shared" si="2"/>
        <v>141158161</v>
      </c>
      <c r="G20" s="4">
        <f t="shared" si="3"/>
        <v>7630</v>
      </c>
      <c r="H20" s="4">
        <f t="shared" si="4"/>
        <v>831670</v>
      </c>
    </row>
    <row r="21" spans="1:8" x14ac:dyDescent="0.2">
      <c r="A21" s="4">
        <v>17</v>
      </c>
      <c r="B21" s="4">
        <v>108</v>
      </c>
      <c r="C21" s="4">
        <v>70</v>
      </c>
      <c r="D21" s="4">
        <f t="shared" si="0"/>
        <v>11664</v>
      </c>
      <c r="E21" s="4">
        <f t="shared" si="1"/>
        <v>1259712</v>
      </c>
      <c r="F21" s="4">
        <f t="shared" si="2"/>
        <v>136048896</v>
      </c>
      <c r="G21" s="4">
        <f t="shared" si="3"/>
        <v>7560</v>
      </c>
      <c r="H21" s="4">
        <f t="shared" si="4"/>
        <v>816480</v>
      </c>
    </row>
    <row r="22" spans="1:8" x14ac:dyDescent="0.2">
      <c r="A22" s="4">
        <v>18</v>
      </c>
      <c r="B22" s="4">
        <v>107</v>
      </c>
      <c r="C22" s="4">
        <v>70</v>
      </c>
      <c r="D22" s="4">
        <f t="shared" si="0"/>
        <v>11449</v>
      </c>
      <c r="E22" s="4">
        <f t="shared" si="1"/>
        <v>1225043</v>
      </c>
      <c r="F22" s="4">
        <f t="shared" si="2"/>
        <v>131079601</v>
      </c>
      <c r="G22" s="4">
        <f t="shared" si="3"/>
        <v>7490</v>
      </c>
      <c r="H22" s="4">
        <f t="shared" si="4"/>
        <v>801430</v>
      </c>
    </row>
    <row r="23" spans="1:8" x14ac:dyDescent="0.2">
      <c r="A23" s="4">
        <v>19</v>
      </c>
      <c r="B23" s="4">
        <v>110</v>
      </c>
      <c r="C23" s="4">
        <v>70</v>
      </c>
      <c r="D23" s="4">
        <f t="shared" si="0"/>
        <v>12100</v>
      </c>
      <c r="E23" s="4">
        <f t="shared" si="1"/>
        <v>1331000</v>
      </c>
      <c r="F23" s="4">
        <f t="shared" si="2"/>
        <v>146410000</v>
      </c>
      <c r="G23" s="4">
        <f t="shared" si="3"/>
        <v>7700</v>
      </c>
      <c r="H23" s="4">
        <f t="shared" si="4"/>
        <v>847000</v>
      </c>
    </row>
    <row r="24" spans="1:8" x14ac:dyDescent="0.2">
      <c r="A24" s="4">
        <v>20</v>
      </c>
      <c r="B24" s="4">
        <v>109</v>
      </c>
      <c r="C24" s="4">
        <v>70</v>
      </c>
      <c r="D24" s="4">
        <f t="shared" si="0"/>
        <v>11881</v>
      </c>
      <c r="E24" s="4">
        <f t="shared" si="1"/>
        <v>1295029</v>
      </c>
      <c r="F24" s="4">
        <f t="shared" si="2"/>
        <v>141158161</v>
      </c>
      <c r="G24" s="4">
        <f t="shared" si="3"/>
        <v>7630</v>
      </c>
      <c r="H24" s="4">
        <f t="shared" si="4"/>
        <v>831670</v>
      </c>
    </row>
    <row r="25" spans="1:8" x14ac:dyDescent="0.2">
      <c r="A25" s="4">
        <v>21</v>
      </c>
      <c r="B25" s="4">
        <v>105</v>
      </c>
      <c r="C25" s="4">
        <v>70</v>
      </c>
      <c r="D25" s="4">
        <f t="shared" si="0"/>
        <v>11025</v>
      </c>
      <c r="E25" s="4">
        <f t="shared" si="1"/>
        <v>1157625</v>
      </c>
      <c r="F25" s="4">
        <f t="shared" si="2"/>
        <v>121550625</v>
      </c>
      <c r="G25" s="4">
        <f t="shared" si="3"/>
        <v>7350</v>
      </c>
      <c r="H25" s="4">
        <f t="shared" si="4"/>
        <v>771750</v>
      </c>
    </row>
    <row r="26" spans="1:8" x14ac:dyDescent="0.2">
      <c r="A26" s="4">
        <v>22</v>
      </c>
      <c r="B26" s="4">
        <v>110</v>
      </c>
      <c r="C26" s="4">
        <v>70</v>
      </c>
      <c r="D26" s="4">
        <f t="shared" si="0"/>
        <v>12100</v>
      </c>
      <c r="E26" s="4">
        <f t="shared" si="1"/>
        <v>1331000</v>
      </c>
      <c r="F26" s="4">
        <f t="shared" si="2"/>
        <v>146410000</v>
      </c>
      <c r="G26" s="4">
        <f t="shared" si="3"/>
        <v>7700</v>
      </c>
      <c r="H26" s="4">
        <f t="shared" si="4"/>
        <v>847000</v>
      </c>
    </row>
    <row r="27" spans="1:8" x14ac:dyDescent="0.2">
      <c r="A27" s="4">
        <v>23</v>
      </c>
      <c r="B27" s="4">
        <v>109</v>
      </c>
      <c r="C27" s="4">
        <v>70</v>
      </c>
      <c r="D27" s="4">
        <f t="shared" si="0"/>
        <v>11881</v>
      </c>
      <c r="E27" s="4">
        <f t="shared" si="1"/>
        <v>1295029</v>
      </c>
      <c r="F27" s="4">
        <f t="shared" si="2"/>
        <v>141158161</v>
      </c>
      <c r="G27" s="4">
        <f t="shared" si="3"/>
        <v>7630</v>
      </c>
      <c r="H27" s="4">
        <f t="shared" si="4"/>
        <v>831670</v>
      </c>
    </row>
    <row r="28" spans="1:8" x14ac:dyDescent="0.2">
      <c r="A28" s="4">
        <v>24</v>
      </c>
      <c r="B28" s="4">
        <v>107</v>
      </c>
      <c r="C28" s="4">
        <v>70</v>
      </c>
      <c r="D28" s="4">
        <f t="shared" si="0"/>
        <v>11449</v>
      </c>
      <c r="E28" s="4">
        <f t="shared" si="1"/>
        <v>1225043</v>
      </c>
      <c r="F28" s="4">
        <f t="shared" si="2"/>
        <v>131079601</v>
      </c>
      <c r="G28" s="4">
        <f t="shared" si="3"/>
        <v>7490</v>
      </c>
      <c r="H28" s="4">
        <f t="shared" si="4"/>
        <v>801430</v>
      </c>
    </row>
    <row r="29" spans="1:8" x14ac:dyDescent="0.2">
      <c r="A29" s="4">
        <v>25</v>
      </c>
      <c r="B29" s="4">
        <v>108</v>
      </c>
      <c r="C29" s="4">
        <v>70</v>
      </c>
      <c r="D29" s="4">
        <f t="shared" si="0"/>
        <v>11664</v>
      </c>
      <c r="E29" s="4">
        <f t="shared" si="1"/>
        <v>1259712</v>
      </c>
      <c r="F29" s="4">
        <f t="shared" si="2"/>
        <v>136048896</v>
      </c>
      <c r="G29" s="4">
        <f t="shared" si="3"/>
        <v>7560</v>
      </c>
      <c r="H29" s="4">
        <f t="shared" si="4"/>
        <v>816480</v>
      </c>
    </row>
    <row r="30" spans="1:8" x14ac:dyDescent="0.2">
      <c r="A30" s="4">
        <v>26</v>
      </c>
      <c r="B30" s="4">
        <v>109</v>
      </c>
      <c r="C30" s="4">
        <v>70</v>
      </c>
      <c r="D30" s="4">
        <f t="shared" si="0"/>
        <v>11881</v>
      </c>
      <c r="E30" s="4">
        <f t="shared" si="1"/>
        <v>1295029</v>
      </c>
      <c r="F30" s="4">
        <f t="shared" si="2"/>
        <v>141158161</v>
      </c>
      <c r="G30" s="4">
        <f t="shared" si="3"/>
        <v>7630</v>
      </c>
      <c r="H30" s="4">
        <f t="shared" si="4"/>
        <v>831670</v>
      </c>
    </row>
    <row r="31" spans="1:8" x14ac:dyDescent="0.2">
      <c r="A31" s="4">
        <v>27</v>
      </c>
      <c r="B31" s="4">
        <v>110</v>
      </c>
      <c r="C31" s="4">
        <v>70</v>
      </c>
      <c r="D31" s="4">
        <f t="shared" si="0"/>
        <v>12100</v>
      </c>
      <c r="E31" s="4">
        <f t="shared" si="1"/>
        <v>1331000</v>
      </c>
      <c r="F31" s="4">
        <f t="shared" si="2"/>
        <v>146410000</v>
      </c>
      <c r="G31" s="4">
        <f t="shared" si="3"/>
        <v>7700</v>
      </c>
      <c r="H31" s="4">
        <f t="shared" si="4"/>
        <v>847000</v>
      </c>
    </row>
    <row r="32" spans="1:8" x14ac:dyDescent="0.2">
      <c r="A32" s="4">
        <v>28</v>
      </c>
      <c r="B32" s="4">
        <v>109</v>
      </c>
      <c r="C32" s="4">
        <v>70</v>
      </c>
      <c r="D32" s="4">
        <f t="shared" si="0"/>
        <v>11881</v>
      </c>
      <c r="E32" s="4">
        <f t="shared" si="1"/>
        <v>1295029</v>
      </c>
      <c r="F32" s="4">
        <f t="shared" si="2"/>
        <v>141158161</v>
      </c>
      <c r="G32" s="4">
        <f t="shared" si="3"/>
        <v>7630</v>
      </c>
      <c r="H32" s="4">
        <f t="shared" si="4"/>
        <v>831670</v>
      </c>
    </row>
    <row r="33" spans="1:8" x14ac:dyDescent="0.2">
      <c r="A33" s="4">
        <v>29</v>
      </c>
      <c r="B33" s="4">
        <v>111</v>
      </c>
      <c r="C33" s="4">
        <v>70</v>
      </c>
      <c r="D33" s="4">
        <f t="shared" si="0"/>
        <v>12321</v>
      </c>
      <c r="E33" s="4">
        <f t="shared" si="1"/>
        <v>1367631</v>
      </c>
      <c r="F33" s="4">
        <f t="shared" si="2"/>
        <v>151807041</v>
      </c>
      <c r="G33" s="4">
        <f t="shared" si="3"/>
        <v>7770</v>
      </c>
      <c r="H33" s="4">
        <f t="shared" si="4"/>
        <v>862470</v>
      </c>
    </row>
    <row r="34" spans="1:8" x14ac:dyDescent="0.2">
      <c r="A34" s="4">
        <v>30</v>
      </c>
      <c r="B34" s="4">
        <v>107</v>
      </c>
      <c r="C34" s="4">
        <v>70</v>
      </c>
      <c r="D34" s="4">
        <f t="shared" si="0"/>
        <v>11449</v>
      </c>
      <c r="E34" s="4">
        <f t="shared" si="1"/>
        <v>1225043</v>
      </c>
      <c r="F34" s="4">
        <f t="shared" si="2"/>
        <v>131079601</v>
      </c>
      <c r="G34" s="4">
        <f t="shared" si="3"/>
        <v>7490</v>
      </c>
      <c r="H34" s="4">
        <f t="shared" si="4"/>
        <v>801430</v>
      </c>
    </row>
    <row r="35" spans="1:8" x14ac:dyDescent="0.2">
      <c r="A35" s="4">
        <v>31</v>
      </c>
      <c r="B35" s="4">
        <v>112</v>
      </c>
      <c r="C35" s="4">
        <v>70</v>
      </c>
      <c r="D35" s="4">
        <f t="shared" si="0"/>
        <v>12544</v>
      </c>
      <c r="E35" s="4">
        <f t="shared" si="1"/>
        <v>1404928</v>
      </c>
      <c r="F35" s="4">
        <f t="shared" si="2"/>
        <v>157351936</v>
      </c>
      <c r="G35" s="4">
        <f t="shared" si="3"/>
        <v>7840</v>
      </c>
      <c r="H35" s="4">
        <f t="shared" si="4"/>
        <v>878080</v>
      </c>
    </row>
    <row r="36" spans="1:8" x14ac:dyDescent="0.2">
      <c r="A36" s="4">
        <v>32</v>
      </c>
      <c r="B36" s="4">
        <v>109</v>
      </c>
      <c r="C36" s="4">
        <v>70</v>
      </c>
      <c r="D36" s="4">
        <f t="shared" si="0"/>
        <v>11881</v>
      </c>
      <c r="E36" s="4">
        <f t="shared" si="1"/>
        <v>1295029</v>
      </c>
      <c r="F36" s="4">
        <f t="shared" si="2"/>
        <v>141158161</v>
      </c>
      <c r="G36" s="4">
        <f t="shared" si="3"/>
        <v>7630</v>
      </c>
      <c r="H36" s="4">
        <f t="shared" si="4"/>
        <v>831670</v>
      </c>
    </row>
    <row r="37" spans="1:8" x14ac:dyDescent="0.2">
      <c r="A37" s="4">
        <v>33</v>
      </c>
      <c r="B37" s="4">
        <v>147</v>
      </c>
      <c r="C37" s="4">
        <v>100</v>
      </c>
      <c r="D37" s="4">
        <f t="shared" ref="D37:D68" si="5">B37^2</f>
        <v>21609</v>
      </c>
      <c r="E37" s="4">
        <f t="shared" ref="E37:E68" si="6">B37^3</f>
        <v>3176523</v>
      </c>
      <c r="F37" s="4">
        <f t="shared" ref="F37:F68" si="7">B37^4</f>
        <v>466948881</v>
      </c>
      <c r="G37" s="4">
        <f t="shared" ref="G37:G68" si="8">B37*C37</f>
        <v>14700</v>
      </c>
      <c r="H37" s="4">
        <f t="shared" ref="H37:H68" si="9">D37*C37</f>
        <v>2160900</v>
      </c>
    </row>
    <row r="38" spans="1:8" x14ac:dyDescent="0.2">
      <c r="A38" s="4">
        <v>34</v>
      </c>
      <c r="B38" s="4">
        <v>145</v>
      </c>
      <c r="C38" s="4">
        <v>100</v>
      </c>
      <c r="D38" s="4">
        <f t="shared" si="5"/>
        <v>21025</v>
      </c>
      <c r="E38" s="4">
        <f t="shared" si="6"/>
        <v>3048625</v>
      </c>
      <c r="F38" s="4">
        <f t="shared" si="7"/>
        <v>442050625</v>
      </c>
      <c r="G38" s="4">
        <f t="shared" si="8"/>
        <v>14500</v>
      </c>
      <c r="H38" s="4">
        <f t="shared" si="9"/>
        <v>2102500</v>
      </c>
    </row>
    <row r="39" spans="1:8" x14ac:dyDescent="0.2">
      <c r="A39" s="4">
        <v>35</v>
      </c>
      <c r="B39" s="4">
        <v>136</v>
      </c>
      <c r="C39" s="4">
        <v>100</v>
      </c>
      <c r="D39" s="4">
        <f t="shared" si="5"/>
        <v>18496</v>
      </c>
      <c r="E39" s="4">
        <f t="shared" si="6"/>
        <v>2515456</v>
      </c>
      <c r="F39" s="4">
        <f t="shared" si="7"/>
        <v>342102016</v>
      </c>
      <c r="G39" s="4">
        <f t="shared" si="8"/>
        <v>13600</v>
      </c>
      <c r="H39" s="4">
        <f t="shared" si="9"/>
        <v>1849600</v>
      </c>
    </row>
    <row r="40" spans="1:8" x14ac:dyDescent="0.2">
      <c r="A40" s="4">
        <v>36</v>
      </c>
      <c r="B40" s="4">
        <v>137</v>
      </c>
      <c r="C40" s="4">
        <v>100</v>
      </c>
      <c r="D40" s="4">
        <f t="shared" si="5"/>
        <v>18769</v>
      </c>
      <c r="E40" s="4">
        <f t="shared" si="6"/>
        <v>2571353</v>
      </c>
      <c r="F40" s="4">
        <f t="shared" si="7"/>
        <v>352275361</v>
      </c>
      <c r="G40" s="4">
        <f t="shared" si="8"/>
        <v>13700</v>
      </c>
      <c r="H40" s="4">
        <f t="shared" si="9"/>
        <v>1876900</v>
      </c>
    </row>
    <row r="41" spans="1:8" x14ac:dyDescent="0.2">
      <c r="A41" s="4">
        <v>37</v>
      </c>
      <c r="B41" s="4">
        <v>142</v>
      </c>
      <c r="C41" s="4">
        <v>100</v>
      </c>
      <c r="D41" s="4">
        <f t="shared" si="5"/>
        <v>20164</v>
      </c>
      <c r="E41" s="4">
        <f t="shared" si="6"/>
        <v>2863288</v>
      </c>
      <c r="F41" s="4">
        <f t="shared" si="7"/>
        <v>406586896</v>
      </c>
      <c r="G41" s="4">
        <f t="shared" si="8"/>
        <v>14200</v>
      </c>
      <c r="H41" s="4">
        <f t="shared" si="9"/>
        <v>2016400</v>
      </c>
    </row>
    <row r="42" spans="1:8" x14ac:dyDescent="0.2">
      <c r="A42" s="4">
        <v>38</v>
      </c>
      <c r="B42" s="4">
        <v>139</v>
      </c>
      <c r="C42" s="4">
        <v>100</v>
      </c>
      <c r="D42" s="4">
        <f t="shared" si="5"/>
        <v>19321</v>
      </c>
      <c r="E42" s="4">
        <f t="shared" si="6"/>
        <v>2685619</v>
      </c>
      <c r="F42" s="4">
        <f t="shared" si="7"/>
        <v>373301041</v>
      </c>
      <c r="G42" s="4">
        <f t="shared" si="8"/>
        <v>13900</v>
      </c>
      <c r="H42" s="4">
        <f t="shared" si="9"/>
        <v>1932100</v>
      </c>
    </row>
    <row r="43" spans="1:8" x14ac:dyDescent="0.2">
      <c r="A43" s="4">
        <v>39</v>
      </c>
      <c r="B43" s="4">
        <v>138</v>
      </c>
      <c r="C43" s="4">
        <v>100</v>
      </c>
      <c r="D43" s="4">
        <f t="shared" si="5"/>
        <v>19044</v>
      </c>
      <c r="E43" s="4">
        <f t="shared" si="6"/>
        <v>2628072</v>
      </c>
      <c r="F43" s="4">
        <f t="shared" si="7"/>
        <v>362673936</v>
      </c>
      <c r="G43" s="4">
        <f t="shared" si="8"/>
        <v>13800</v>
      </c>
      <c r="H43" s="4">
        <f t="shared" si="9"/>
        <v>1904400</v>
      </c>
    </row>
    <row r="44" spans="1:8" x14ac:dyDescent="0.2">
      <c r="A44" s="4">
        <v>40</v>
      </c>
      <c r="B44" s="4">
        <v>142</v>
      </c>
      <c r="C44" s="4">
        <v>100</v>
      </c>
      <c r="D44" s="4">
        <f t="shared" si="5"/>
        <v>20164</v>
      </c>
      <c r="E44" s="4">
        <f t="shared" si="6"/>
        <v>2863288</v>
      </c>
      <c r="F44" s="4">
        <f t="shared" si="7"/>
        <v>406586896</v>
      </c>
      <c r="G44" s="4">
        <f t="shared" si="8"/>
        <v>14200</v>
      </c>
      <c r="H44" s="4">
        <f t="shared" si="9"/>
        <v>2016400</v>
      </c>
    </row>
    <row r="45" spans="1:8" x14ac:dyDescent="0.2">
      <c r="A45" s="4">
        <v>41</v>
      </c>
      <c r="B45" s="4">
        <v>143</v>
      </c>
      <c r="C45" s="4">
        <v>100</v>
      </c>
      <c r="D45" s="4">
        <f t="shared" si="5"/>
        <v>20449</v>
      </c>
      <c r="E45" s="4">
        <f t="shared" si="6"/>
        <v>2924207</v>
      </c>
      <c r="F45" s="4">
        <f t="shared" si="7"/>
        <v>418161601</v>
      </c>
      <c r="G45" s="4">
        <f t="shared" si="8"/>
        <v>14300</v>
      </c>
      <c r="H45" s="4">
        <f t="shared" si="9"/>
        <v>2044900</v>
      </c>
    </row>
    <row r="46" spans="1:8" x14ac:dyDescent="0.2">
      <c r="A46" s="4">
        <v>42</v>
      </c>
      <c r="B46" s="4">
        <v>141</v>
      </c>
      <c r="C46" s="4">
        <v>100</v>
      </c>
      <c r="D46" s="4">
        <f t="shared" si="5"/>
        <v>19881</v>
      </c>
      <c r="E46" s="4">
        <f t="shared" si="6"/>
        <v>2803221</v>
      </c>
      <c r="F46" s="4">
        <f t="shared" si="7"/>
        <v>395254161</v>
      </c>
      <c r="G46" s="4">
        <f t="shared" si="8"/>
        <v>14100</v>
      </c>
      <c r="H46" s="4">
        <f t="shared" si="9"/>
        <v>1988100</v>
      </c>
    </row>
    <row r="47" spans="1:8" x14ac:dyDescent="0.2">
      <c r="A47" s="4">
        <v>43</v>
      </c>
      <c r="B47" s="4">
        <v>140</v>
      </c>
      <c r="C47" s="4">
        <v>100</v>
      </c>
      <c r="D47" s="4">
        <f t="shared" si="5"/>
        <v>19600</v>
      </c>
      <c r="E47" s="4">
        <f t="shared" si="6"/>
        <v>2744000</v>
      </c>
      <c r="F47" s="4">
        <f t="shared" si="7"/>
        <v>384160000</v>
      </c>
      <c r="G47" s="4">
        <f t="shared" si="8"/>
        <v>14000</v>
      </c>
      <c r="H47" s="4">
        <f t="shared" si="9"/>
        <v>1960000</v>
      </c>
    </row>
    <row r="48" spans="1:8" x14ac:dyDescent="0.2">
      <c r="A48" s="4">
        <v>44</v>
      </c>
      <c r="B48" s="4">
        <v>139</v>
      </c>
      <c r="C48" s="4">
        <v>100</v>
      </c>
      <c r="D48" s="4">
        <f t="shared" si="5"/>
        <v>19321</v>
      </c>
      <c r="E48" s="4">
        <f t="shared" si="6"/>
        <v>2685619</v>
      </c>
      <c r="F48" s="4">
        <f t="shared" si="7"/>
        <v>373301041</v>
      </c>
      <c r="G48" s="4">
        <f t="shared" si="8"/>
        <v>13900</v>
      </c>
      <c r="H48" s="4">
        <f t="shared" si="9"/>
        <v>1932100</v>
      </c>
    </row>
    <row r="49" spans="1:8" x14ac:dyDescent="0.2">
      <c r="A49" s="4">
        <v>45</v>
      </c>
      <c r="B49" s="4">
        <v>138</v>
      </c>
      <c r="C49" s="4">
        <v>100</v>
      </c>
      <c r="D49" s="4">
        <f t="shared" si="5"/>
        <v>19044</v>
      </c>
      <c r="E49" s="4">
        <f t="shared" si="6"/>
        <v>2628072</v>
      </c>
      <c r="F49" s="4">
        <f t="shared" si="7"/>
        <v>362673936</v>
      </c>
      <c r="G49" s="4">
        <f t="shared" si="8"/>
        <v>13800</v>
      </c>
      <c r="H49" s="4">
        <f t="shared" si="9"/>
        <v>1904400</v>
      </c>
    </row>
    <row r="50" spans="1:8" x14ac:dyDescent="0.2">
      <c r="A50" s="4">
        <v>46</v>
      </c>
      <c r="B50" s="4">
        <v>135</v>
      </c>
      <c r="C50" s="4">
        <v>100</v>
      </c>
      <c r="D50" s="4">
        <f t="shared" si="5"/>
        <v>18225</v>
      </c>
      <c r="E50" s="4">
        <f t="shared" si="6"/>
        <v>2460375</v>
      </c>
      <c r="F50" s="4">
        <f t="shared" si="7"/>
        <v>332150625</v>
      </c>
      <c r="G50" s="4">
        <f t="shared" si="8"/>
        <v>13500</v>
      </c>
      <c r="H50" s="4">
        <f t="shared" si="9"/>
        <v>1822500</v>
      </c>
    </row>
    <row r="51" spans="1:8" x14ac:dyDescent="0.2">
      <c r="A51" s="4">
        <v>47</v>
      </c>
      <c r="B51" s="4">
        <v>140</v>
      </c>
      <c r="C51" s="4">
        <v>100</v>
      </c>
      <c r="D51" s="4">
        <f t="shared" si="5"/>
        <v>19600</v>
      </c>
      <c r="E51" s="4">
        <f t="shared" si="6"/>
        <v>2744000</v>
      </c>
      <c r="F51" s="4">
        <f t="shared" si="7"/>
        <v>384160000</v>
      </c>
      <c r="G51" s="4">
        <f t="shared" si="8"/>
        <v>14000</v>
      </c>
      <c r="H51" s="4">
        <f t="shared" si="9"/>
        <v>1960000</v>
      </c>
    </row>
    <row r="52" spans="1:8" x14ac:dyDescent="0.2">
      <c r="A52" s="4">
        <v>48</v>
      </c>
      <c r="B52" s="4">
        <v>143</v>
      </c>
      <c r="C52" s="4">
        <v>100</v>
      </c>
      <c r="D52" s="4">
        <f t="shared" si="5"/>
        <v>20449</v>
      </c>
      <c r="E52" s="4">
        <f t="shared" si="6"/>
        <v>2924207</v>
      </c>
      <c r="F52" s="4">
        <f t="shared" si="7"/>
        <v>418161601</v>
      </c>
      <c r="G52" s="4">
        <f t="shared" si="8"/>
        <v>14300</v>
      </c>
      <c r="H52" s="4">
        <f t="shared" si="9"/>
        <v>2044900</v>
      </c>
    </row>
    <row r="53" spans="1:8" x14ac:dyDescent="0.2">
      <c r="A53" s="4">
        <v>49</v>
      </c>
      <c r="B53" s="4">
        <v>139</v>
      </c>
      <c r="C53" s="4">
        <v>100</v>
      </c>
      <c r="D53" s="4">
        <f t="shared" si="5"/>
        <v>19321</v>
      </c>
      <c r="E53" s="4">
        <f t="shared" si="6"/>
        <v>2685619</v>
      </c>
      <c r="F53" s="4">
        <f t="shared" si="7"/>
        <v>373301041</v>
      </c>
      <c r="G53" s="4">
        <f t="shared" si="8"/>
        <v>13900</v>
      </c>
      <c r="H53" s="4">
        <f t="shared" si="9"/>
        <v>1932100</v>
      </c>
    </row>
    <row r="54" spans="1:8" x14ac:dyDescent="0.2">
      <c r="A54" s="4">
        <v>50</v>
      </c>
      <c r="B54" s="4">
        <v>134</v>
      </c>
      <c r="C54" s="4">
        <v>100</v>
      </c>
      <c r="D54" s="4">
        <f t="shared" si="5"/>
        <v>17956</v>
      </c>
      <c r="E54" s="4">
        <f t="shared" si="6"/>
        <v>2406104</v>
      </c>
      <c r="F54" s="4">
        <f t="shared" si="7"/>
        <v>322417936</v>
      </c>
      <c r="G54" s="4">
        <f t="shared" si="8"/>
        <v>13400</v>
      </c>
      <c r="H54" s="4">
        <f t="shared" si="9"/>
        <v>1795600</v>
      </c>
    </row>
    <row r="55" spans="1:8" x14ac:dyDescent="0.2">
      <c r="A55" s="4">
        <v>51</v>
      </c>
      <c r="B55" s="4">
        <v>140</v>
      </c>
      <c r="C55" s="4">
        <v>100</v>
      </c>
      <c r="D55" s="4">
        <f t="shared" si="5"/>
        <v>19600</v>
      </c>
      <c r="E55" s="4">
        <f t="shared" si="6"/>
        <v>2744000</v>
      </c>
      <c r="F55" s="4">
        <f t="shared" si="7"/>
        <v>384160000</v>
      </c>
      <c r="G55" s="4">
        <f t="shared" si="8"/>
        <v>14000</v>
      </c>
      <c r="H55" s="4">
        <f t="shared" si="9"/>
        <v>1960000</v>
      </c>
    </row>
    <row r="56" spans="1:8" x14ac:dyDescent="0.2">
      <c r="A56" s="4">
        <v>52</v>
      </c>
      <c r="B56" s="4">
        <v>135</v>
      </c>
      <c r="C56" s="4">
        <v>100</v>
      </c>
      <c r="D56" s="4">
        <f t="shared" si="5"/>
        <v>18225</v>
      </c>
      <c r="E56" s="4">
        <f t="shared" si="6"/>
        <v>2460375</v>
      </c>
      <c r="F56" s="4">
        <f t="shared" si="7"/>
        <v>332150625</v>
      </c>
      <c r="G56" s="4">
        <f t="shared" si="8"/>
        <v>13500</v>
      </c>
      <c r="H56" s="4">
        <f t="shared" si="9"/>
        <v>1822500</v>
      </c>
    </row>
    <row r="57" spans="1:8" x14ac:dyDescent="0.2">
      <c r="A57" s="4">
        <v>53</v>
      </c>
      <c r="B57" s="4">
        <v>241</v>
      </c>
      <c r="C57" s="4">
        <v>200</v>
      </c>
      <c r="D57" s="4">
        <f t="shared" si="5"/>
        <v>58081</v>
      </c>
      <c r="E57" s="4">
        <f t="shared" si="6"/>
        <v>13997521</v>
      </c>
      <c r="F57" s="4">
        <f t="shared" si="7"/>
        <v>3373402561</v>
      </c>
      <c r="G57" s="4">
        <f t="shared" si="8"/>
        <v>48200</v>
      </c>
      <c r="H57" s="4">
        <f t="shared" si="9"/>
        <v>11616200</v>
      </c>
    </row>
    <row r="58" spans="1:8" x14ac:dyDescent="0.2">
      <c r="A58" s="4">
        <v>54</v>
      </c>
      <c r="B58" s="4">
        <v>241</v>
      </c>
      <c r="C58" s="4">
        <v>200</v>
      </c>
      <c r="D58" s="4">
        <f t="shared" si="5"/>
        <v>58081</v>
      </c>
      <c r="E58" s="4">
        <f t="shared" si="6"/>
        <v>13997521</v>
      </c>
      <c r="F58" s="4">
        <f t="shared" si="7"/>
        <v>3373402561</v>
      </c>
      <c r="G58" s="4">
        <f t="shared" si="8"/>
        <v>48200</v>
      </c>
      <c r="H58" s="4">
        <f t="shared" si="9"/>
        <v>11616200</v>
      </c>
    </row>
    <row r="59" spans="1:8" x14ac:dyDescent="0.2">
      <c r="A59" s="4">
        <v>55</v>
      </c>
      <c r="B59" s="4">
        <v>240</v>
      </c>
      <c r="C59" s="4">
        <v>200</v>
      </c>
      <c r="D59" s="4">
        <f t="shared" si="5"/>
        <v>57600</v>
      </c>
      <c r="E59" s="4">
        <f t="shared" si="6"/>
        <v>13824000</v>
      </c>
      <c r="F59" s="4">
        <f t="shared" si="7"/>
        <v>3317760000</v>
      </c>
      <c r="G59" s="4">
        <f t="shared" si="8"/>
        <v>48000</v>
      </c>
      <c r="H59" s="4">
        <f t="shared" si="9"/>
        <v>11520000</v>
      </c>
    </row>
    <row r="60" spans="1:8" x14ac:dyDescent="0.2">
      <c r="A60" s="4">
        <v>56</v>
      </c>
      <c r="B60" s="4">
        <v>238</v>
      </c>
      <c r="C60" s="4">
        <v>200</v>
      </c>
      <c r="D60" s="4">
        <f t="shared" si="5"/>
        <v>56644</v>
      </c>
      <c r="E60" s="4">
        <f t="shared" si="6"/>
        <v>13481272</v>
      </c>
      <c r="F60" s="4">
        <f t="shared" si="7"/>
        <v>3208542736</v>
      </c>
      <c r="G60" s="4">
        <f t="shared" si="8"/>
        <v>47600</v>
      </c>
      <c r="H60" s="4">
        <f t="shared" si="9"/>
        <v>11328800</v>
      </c>
    </row>
    <row r="61" spans="1:8" x14ac:dyDescent="0.2">
      <c r="A61" s="4">
        <v>57</v>
      </c>
      <c r="B61" s="4">
        <v>239</v>
      </c>
      <c r="C61" s="4">
        <v>200</v>
      </c>
      <c r="D61" s="4">
        <f t="shared" si="5"/>
        <v>57121</v>
      </c>
      <c r="E61" s="4">
        <f t="shared" si="6"/>
        <v>13651919</v>
      </c>
      <c r="F61" s="4">
        <f t="shared" si="7"/>
        <v>3262808641</v>
      </c>
      <c r="G61" s="4">
        <f t="shared" si="8"/>
        <v>47800</v>
      </c>
      <c r="H61" s="4">
        <f t="shared" si="9"/>
        <v>11424200</v>
      </c>
    </row>
    <row r="62" spans="1:8" x14ac:dyDescent="0.2">
      <c r="A62" s="4">
        <v>58</v>
      </c>
      <c r="B62" s="4">
        <v>241</v>
      </c>
      <c r="C62" s="4">
        <v>200</v>
      </c>
      <c r="D62" s="4">
        <f t="shared" si="5"/>
        <v>58081</v>
      </c>
      <c r="E62" s="4">
        <f t="shared" si="6"/>
        <v>13997521</v>
      </c>
      <c r="F62" s="4">
        <f t="shared" si="7"/>
        <v>3373402561</v>
      </c>
      <c r="G62" s="4">
        <f t="shared" si="8"/>
        <v>48200</v>
      </c>
      <c r="H62" s="4">
        <f t="shared" si="9"/>
        <v>11616200</v>
      </c>
    </row>
    <row r="63" spans="1:8" x14ac:dyDescent="0.2">
      <c r="A63" s="4">
        <v>59</v>
      </c>
      <c r="B63" s="4">
        <v>240</v>
      </c>
      <c r="C63" s="4">
        <v>200</v>
      </c>
      <c r="D63" s="4">
        <f t="shared" si="5"/>
        <v>57600</v>
      </c>
      <c r="E63" s="4">
        <f t="shared" si="6"/>
        <v>13824000</v>
      </c>
      <c r="F63" s="4">
        <f t="shared" si="7"/>
        <v>3317760000</v>
      </c>
      <c r="G63" s="4">
        <f t="shared" si="8"/>
        <v>48000</v>
      </c>
      <c r="H63" s="4">
        <f t="shared" si="9"/>
        <v>11520000</v>
      </c>
    </row>
    <row r="64" spans="1:8" x14ac:dyDescent="0.2">
      <c r="A64" s="4">
        <v>60</v>
      </c>
      <c r="B64" s="4">
        <v>241</v>
      </c>
      <c r="C64" s="4">
        <v>200</v>
      </c>
      <c r="D64" s="4">
        <f t="shared" si="5"/>
        <v>58081</v>
      </c>
      <c r="E64" s="4">
        <f t="shared" si="6"/>
        <v>13997521</v>
      </c>
      <c r="F64" s="4">
        <f t="shared" si="7"/>
        <v>3373402561</v>
      </c>
      <c r="G64" s="4">
        <f t="shared" si="8"/>
        <v>48200</v>
      </c>
      <c r="H64" s="4">
        <f t="shared" si="9"/>
        <v>11616200</v>
      </c>
    </row>
    <row r="65" spans="1:8" x14ac:dyDescent="0.2">
      <c r="A65" s="4">
        <v>61</v>
      </c>
      <c r="B65" s="4">
        <v>242</v>
      </c>
      <c r="C65" s="4">
        <v>200</v>
      </c>
      <c r="D65" s="4">
        <f t="shared" si="5"/>
        <v>58564</v>
      </c>
      <c r="E65" s="4">
        <f t="shared" si="6"/>
        <v>14172488</v>
      </c>
      <c r="F65" s="4">
        <f t="shared" si="7"/>
        <v>3429742096</v>
      </c>
      <c r="G65" s="4">
        <f t="shared" si="8"/>
        <v>48400</v>
      </c>
      <c r="H65" s="4">
        <f t="shared" si="9"/>
        <v>11712800</v>
      </c>
    </row>
    <row r="66" spans="1:8" x14ac:dyDescent="0.2">
      <c r="A66" s="4">
        <v>62</v>
      </c>
      <c r="B66" s="4">
        <v>240</v>
      </c>
      <c r="C66" s="4">
        <v>200</v>
      </c>
      <c r="D66" s="4">
        <f t="shared" si="5"/>
        <v>57600</v>
      </c>
      <c r="E66" s="4">
        <f t="shared" si="6"/>
        <v>13824000</v>
      </c>
      <c r="F66" s="4">
        <f t="shared" si="7"/>
        <v>3317760000</v>
      </c>
      <c r="G66" s="4">
        <f t="shared" si="8"/>
        <v>48000</v>
      </c>
      <c r="H66" s="4">
        <f t="shared" si="9"/>
        <v>11520000</v>
      </c>
    </row>
    <row r="67" spans="1:8" x14ac:dyDescent="0.2">
      <c r="A67" s="4">
        <v>63</v>
      </c>
      <c r="B67" s="4">
        <v>241</v>
      </c>
      <c r="C67" s="4">
        <v>200</v>
      </c>
      <c r="D67" s="4">
        <f t="shared" si="5"/>
        <v>58081</v>
      </c>
      <c r="E67" s="4">
        <f t="shared" si="6"/>
        <v>13997521</v>
      </c>
      <c r="F67" s="4">
        <f t="shared" si="7"/>
        <v>3373402561</v>
      </c>
      <c r="G67" s="4">
        <f t="shared" si="8"/>
        <v>48200</v>
      </c>
      <c r="H67" s="4">
        <f t="shared" si="9"/>
        <v>11616200</v>
      </c>
    </row>
    <row r="68" spans="1:8" x14ac:dyDescent="0.2">
      <c r="A68" s="4">
        <v>64</v>
      </c>
      <c r="B68" s="4">
        <v>238</v>
      </c>
      <c r="C68" s="4">
        <v>200</v>
      </c>
      <c r="D68" s="4">
        <f t="shared" si="5"/>
        <v>56644</v>
      </c>
      <c r="E68" s="4">
        <f t="shared" si="6"/>
        <v>13481272</v>
      </c>
      <c r="F68" s="4">
        <f t="shared" si="7"/>
        <v>3208542736</v>
      </c>
      <c r="G68" s="4">
        <f t="shared" si="8"/>
        <v>47600</v>
      </c>
      <c r="H68" s="4">
        <f t="shared" si="9"/>
        <v>11328800</v>
      </c>
    </row>
    <row r="69" spans="1:8" x14ac:dyDescent="0.2">
      <c r="A69" s="4">
        <v>65</v>
      </c>
      <c r="B69" s="4">
        <v>243</v>
      </c>
      <c r="C69" s="4">
        <v>200</v>
      </c>
      <c r="D69" s="4">
        <f t="shared" ref="D69:D96" si="10">B69^2</f>
        <v>59049</v>
      </c>
      <c r="E69" s="4">
        <f t="shared" ref="E69:E96" si="11">B69^3</f>
        <v>14348907</v>
      </c>
      <c r="F69" s="4">
        <f t="shared" ref="F69:F96" si="12">B69^4</f>
        <v>3486784401</v>
      </c>
      <c r="G69" s="4">
        <f t="shared" ref="G69:G96" si="13">B69*C69</f>
        <v>48600</v>
      </c>
      <c r="H69" s="4">
        <f t="shared" ref="H69:H96" si="14">D69*C69</f>
        <v>11809800</v>
      </c>
    </row>
    <row r="70" spans="1:8" x14ac:dyDescent="0.2">
      <c r="A70" s="4">
        <v>66</v>
      </c>
      <c r="B70" s="4">
        <v>238</v>
      </c>
      <c r="C70" s="4">
        <v>200</v>
      </c>
      <c r="D70" s="4">
        <f t="shared" si="10"/>
        <v>56644</v>
      </c>
      <c r="E70" s="4">
        <f t="shared" si="11"/>
        <v>13481272</v>
      </c>
      <c r="F70" s="4">
        <f t="shared" si="12"/>
        <v>3208542736</v>
      </c>
      <c r="G70" s="4">
        <f t="shared" si="13"/>
        <v>47600</v>
      </c>
      <c r="H70" s="4">
        <f t="shared" si="14"/>
        <v>11328800</v>
      </c>
    </row>
    <row r="71" spans="1:8" x14ac:dyDescent="0.2">
      <c r="A71" s="4">
        <v>67</v>
      </c>
      <c r="B71" s="4">
        <v>239</v>
      </c>
      <c r="C71" s="4">
        <v>200</v>
      </c>
      <c r="D71" s="4">
        <f t="shared" si="10"/>
        <v>57121</v>
      </c>
      <c r="E71" s="4">
        <f t="shared" si="11"/>
        <v>13651919</v>
      </c>
      <c r="F71" s="4">
        <f t="shared" si="12"/>
        <v>3262808641</v>
      </c>
      <c r="G71" s="4">
        <f t="shared" si="13"/>
        <v>47800</v>
      </c>
      <c r="H71" s="4">
        <f t="shared" si="14"/>
        <v>11424200</v>
      </c>
    </row>
    <row r="72" spans="1:8" x14ac:dyDescent="0.2">
      <c r="A72" s="4">
        <v>68</v>
      </c>
      <c r="B72" s="4">
        <v>241</v>
      </c>
      <c r="C72" s="4">
        <v>200</v>
      </c>
      <c r="D72" s="4">
        <f t="shared" si="10"/>
        <v>58081</v>
      </c>
      <c r="E72" s="4">
        <f t="shared" si="11"/>
        <v>13997521</v>
      </c>
      <c r="F72" s="4">
        <f t="shared" si="12"/>
        <v>3373402561</v>
      </c>
      <c r="G72" s="4">
        <f t="shared" si="13"/>
        <v>48200</v>
      </c>
      <c r="H72" s="4">
        <f t="shared" si="14"/>
        <v>11616200</v>
      </c>
    </row>
    <row r="73" spans="1:8" x14ac:dyDescent="0.2">
      <c r="A73" s="4">
        <v>69</v>
      </c>
      <c r="B73" s="4">
        <v>242</v>
      </c>
      <c r="C73" s="4">
        <v>200</v>
      </c>
      <c r="D73" s="4">
        <f t="shared" si="10"/>
        <v>58564</v>
      </c>
      <c r="E73" s="4">
        <f t="shared" si="11"/>
        <v>14172488</v>
      </c>
      <c r="F73" s="4">
        <f t="shared" si="12"/>
        <v>3429742096</v>
      </c>
      <c r="G73" s="4">
        <f t="shared" si="13"/>
        <v>48400</v>
      </c>
      <c r="H73" s="4">
        <f t="shared" si="14"/>
        <v>11712800</v>
      </c>
    </row>
    <row r="74" spans="1:8" x14ac:dyDescent="0.2">
      <c r="A74" s="4">
        <v>70</v>
      </c>
      <c r="B74" s="4">
        <v>238</v>
      </c>
      <c r="C74" s="4">
        <v>200</v>
      </c>
      <c r="D74" s="4">
        <f t="shared" si="10"/>
        <v>56644</v>
      </c>
      <c r="E74" s="4">
        <f t="shared" si="11"/>
        <v>13481272</v>
      </c>
      <c r="F74" s="4">
        <f t="shared" si="12"/>
        <v>3208542736</v>
      </c>
      <c r="G74" s="4">
        <f t="shared" si="13"/>
        <v>47600</v>
      </c>
      <c r="H74" s="4">
        <f t="shared" si="14"/>
        <v>11328800</v>
      </c>
    </row>
    <row r="75" spans="1:8" x14ac:dyDescent="0.2">
      <c r="A75" s="4">
        <v>71</v>
      </c>
      <c r="B75" s="4">
        <v>239</v>
      </c>
      <c r="C75" s="4">
        <v>200</v>
      </c>
      <c r="D75" s="4">
        <f t="shared" si="10"/>
        <v>57121</v>
      </c>
      <c r="E75" s="4">
        <f t="shared" si="11"/>
        <v>13651919</v>
      </c>
      <c r="F75" s="4">
        <f t="shared" si="12"/>
        <v>3262808641</v>
      </c>
      <c r="G75" s="4">
        <f t="shared" si="13"/>
        <v>47800</v>
      </c>
      <c r="H75" s="4">
        <f t="shared" si="14"/>
        <v>11424200</v>
      </c>
    </row>
    <row r="76" spans="1:8" x14ac:dyDescent="0.2">
      <c r="A76" s="4">
        <v>72</v>
      </c>
      <c r="B76" s="4">
        <v>241</v>
      </c>
      <c r="C76" s="4">
        <v>200</v>
      </c>
      <c r="D76" s="4">
        <f t="shared" si="10"/>
        <v>58081</v>
      </c>
      <c r="E76" s="4">
        <f t="shared" si="11"/>
        <v>13997521</v>
      </c>
      <c r="F76" s="4">
        <f t="shared" si="12"/>
        <v>3373402561</v>
      </c>
      <c r="G76" s="4">
        <f t="shared" si="13"/>
        <v>48200</v>
      </c>
      <c r="H76" s="4">
        <f t="shared" si="14"/>
        <v>11616200</v>
      </c>
    </row>
    <row r="77" spans="1:8" x14ac:dyDescent="0.2">
      <c r="A77" s="4">
        <v>73</v>
      </c>
      <c r="B77" s="4">
        <v>381</v>
      </c>
      <c r="C77" s="4">
        <v>300</v>
      </c>
      <c r="D77" s="4">
        <f t="shared" si="10"/>
        <v>145161</v>
      </c>
      <c r="E77" s="4">
        <f t="shared" si="11"/>
        <v>55306341</v>
      </c>
      <c r="F77" s="4">
        <f t="shared" si="12"/>
        <v>21071715921</v>
      </c>
      <c r="G77" s="4">
        <f t="shared" si="13"/>
        <v>114300</v>
      </c>
      <c r="H77" s="4">
        <f t="shared" si="14"/>
        <v>43548300</v>
      </c>
    </row>
    <row r="78" spans="1:8" x14ac:dyDescent="0.2">
      <c r="A78" s="4">
        <v>74</v>
      </c>
      <c r="B78" s="4">
        <v>379</v>
      </c>
      <c r="C78" s="4">
        <v>300</v>
      </c>
      <c r="D78" s="4">
        <f t="shared" si="10"/>
        <v>143641</v>
      </c>
      <c r="E78" s="4">
        <f t="shared" si="11"/>
        <v>54439939</v>
      </c>
      <c r="F78" s="4">
        <f t="shared" si="12"/>
        <v>20632736881</v>
      </c>
      <c r="G78" s="4">
        <f t="shared" si="13"/>
        <v>113700</v>
      </c>
      <c r="H78" s="4">
        <f t="shared" si="14"/>
        <v>43092300</v>
      </c>
    </row>
    <row r="79" spans="1:8" x14ac:dyDescent="0.2">
      <c r="A79" s="4">
        <v>75</v>
      </c>
      <c r="B79" s="4">
        <v>380</v>
      </c>
      <c r="C79" s="4">
        <v>300</v>
      </c>
      <c r="D79" s="4">
        <f t="shared" si="10"/>
        <v>144400</v>
      </c>
      <c r="E79" s="4">
        <f t="shared" si="11"/>
        <v>54872000</v>
      </c>
      <c r="F79" s="4">
        <f t="shared" si="12"/>
        <v>20851360000</v>
      </c>
      <c r="G79" s="4">
        <f t="shared" si="13"/>
        <v>114000</v>
      </c>
      <c r="H79" s="4">
        <f t="shared" si="14"/>
        <v>43320000</v>
      </c>
    </row>
    <row r="80" spans="1:8" x14ac:dyDescent="0.2">
      <c r="A80" s="4">
        <v>76</v>
      </c>
      <c r="B80" s="4">
        <v>416</v>
      </c>
      <c r="C80" s="4">
        <v>300</v>
      </c>
      <c r="D80" s="4">
        <f t="shared" si="10"/>
        <v>173056</v>
      </c>
      <c r="E80" s="4">
        <f t="shared" si="11"/>
        <v>71991296</v>
      </c>
      <c r="F80" s="4">
        <f t="shared" si="12"/>
        <v>29948379136</v>
      </c>
      <c r="G80" s="4">
        <f t="shared" si="13"/>
        <v>124800</v>
      </c>
      <c r="H80" s="4">
        <f t="shared" si="14"/>
        <v>51916800</v>
      </c>
    </row>
    <row r="81" spans="1:8" x14ac:dyDescent="0.2">
      <c r="A81" s="4">
        <v>77</v>
      </c>
      <c r="B81" s="4">
        <v>405</v>
      </c>
      <c r="C81" s="4">
        <v>300</v>
      </c>
      <c r="D81" s="4">
        <f t="shared" si="10"/>
        <v>164025</v>
      </c>
      <c r="E81" s="4">
        <f t="shared" si="11"/>
        <v>66430125</v>
      </c>
      <c r="F81" s="4">
        <f t="shared" si="12"/>
        <v>26904200625</v>
      </c>
      <c r="G81" s="4">
        <f t="shared" si="13"/>
        <v>121500</v>
      </c>
      <c r="H81" s="4">
        <f t="shared" si="14"/>
        <v>49207500</v>
      </c>
    </row>
    <row r="82" spans="1:8" x14ac:dyDescent="0.2">
      <c r="A82" s="4">
        <v>78</v>
      </c>
      <c r="B82" s="4">
        <v>381</v>
      </c>
      <c r="C82" s="4">
        <v>300</v>
      </c>
      <c r="D82" s="4">
        <f t="shared" si="10"/>
        <v>145161</v>
      </c>
      <c r="E82" s="4">
        <f t="shared" si="11"/>
        <v>55306341</v>
      </c>
      <c r="F82" s="4">
        <f t="shared" si="12"/>
        <v>21071715921</v>
      </c>
      <c r="G82" s="4">
        <f t="shared" si="13"/>
        <v>114300</v>
      </c>
      <c r="H82" s="4">
        <f t="shared" si="14"/>
        <v>43548300</v>
      </c>
    </row>
    <row r="83" spans="1:8" x14ac:dyDescent="0.2">
      <c r="A83" s="4">
        <v>79</v>
      </c>
      <c r="B83" s="4">
        <v>387</v>
      </c>
      <c r="C83" s="4">
        <v>300</v>
      </c>
      <c r="D83" s="4">
        <f t="shared" si="10"/>
        <v>149769</v>
      </c>
      <c r="E83" s="4">
        <f t="shared" si="11"/>
        <v>57960603</v>
      </c>
      <c r="F83" s="4">
        <f t="shared" si="12"/>
        <v>22430753361</v>
      </c>
      <c r="G83" s="4">
        <f t="shared" si="13"/>
        <v>116100</v>
      </c>
      <c r="H83" s="4">
        <f t="shared" si="14"/>
        <v>44930700</v>
      </c>
    </row>
    <row r="84" spans="1:8" x14ac:dyDescent="0.2">
      <c r="A84" s="4">
        <v>80</v>
      </c>
      <c r="B84" s="4">
        <v>398</v>
      </c>
      <c r="C84" s="4">
        <v>300</v>
      </c>
      <c r="D84" s="4">
        <f t="shared" si="10"/>
        <v>158404</v>
      </c>
      <c r="E84" s="4">
        <f t="shared" si="11"/>
        <v>63044792</v>
      </c>
      <c r="F84" s="4">
        <f t="shared" si="12"/>
        <v>25091827216</v>
      </c>
      <c r="G84" s="4">
        <f t="shared" si="13"/>
        <v>119400</v>
      </c>
      <c r="H84" s="4">
        <f t="shared" si="14"/>
        <v>47521200</v>
      </c>
    </row>
    <row r="85" spans="1:8" x14ac:dyDescent="0.2">
      <c r="A85" s="4">
        <v>81</v>
      </c>
      <c r="B85" s="4">
        <v>391</v>
      </c>
      <c r="C85" s="4">
        <v>300</v>
      </c>
      <c r="D85" s="4">
        <f t="shared" si="10"/>
        <v>152881</v>
      </c>
      <c r="E85" s="4">
        <f t="shared" si="11"/>
        <v>59776471</v>
      </c>
      <c r="F85" s="4">
        <f t="shared" si="12"/>
        <v>23372600161</v>
      </c>
      <c r="G85" s="4">
        <f t="shared" si="13"/>
        <v>117300</v>
      </c>
      <c r="H85" s="4">
        <f t="shared" si="14"/>
        <v>45864300</v>
      </c>
    </row>
    <row r="86" spans="1:8" x14ac:dyDescent="0.2">
      <c r="A86" s="4">
        <v>82</v>
      </c>
      <c r="B86" s="4">
        <v>370</v>
      </c>
      <c r="C86" s="4">
        <v>300</v>
      </c>
      <c r="D86" s="4">
        <f t="shared" si="10"/>
        <v>136900</v>
      </c>
      <c r="E86" s="4">
        <f t="shared" si="11"/>
        <v>50653000</v>
      </c>
      <c r="F86" s="4">
        <f t="shared" si="12"/>
        <v>18741610000</v>
      </c>
      <c r="G86" s="4">
        <f t="shared" si="13"/>
        <v>111000</v>
      </c>
      <c r="H86" s="4">
        <f t="shared" si="14"/>
        <v>41070000</v>
      </c>
    </row>
    <row r="87" spans="1:8" x14ac:dyDescent="0.2">
      <c r="A87" s="4">
        <v>83</v>
      </c>
      <c r="B87" s="4">
        <v>372</v>
      </c>
      <c r="C87" s="4">
        <v>300</v>
      </c>
      <c r="D87" s="4">
        <f t="shared" si="10"/>
        <v>138384</v>
      </c>
      <c r="E87" s="4">
        <f t="shared" si="11"/>
        <v>51478848</v>
      </c>
      <c r="F87" s="4">
        <f t="shared" si="12"/>
        <v>19150131456</v>
      </c>
      <c r="G87" s="4">
        <f t="shared" si="13"/>
        <v>111600</v>
      </c>
      <c r="H87" s="4">
        <f t="shared" si="14"/>
        <v>41515200</v>
      </c>
    </row>
    <row r="88" spans="1:8" x14ac:dyDescent="0.2">
      <c r="A88" s="4">
        <v>84</v>
      </c>
      <c r="B88" s="4">
        <v>370</v>
      </c>
      <c r="C88" s="4">
        <v>300</v>
      </c>
      <c r="D88" s="4">
        <f t="shared" si="10"/>
        <v>136900</v>
      </c>
      <c r="E88" s="4">
        <f t="shared" si="11"/>
        <v>50653000</v>
      </c>
      <c r="F88" s="4">
        <f t="shared" si="12"/>
        <v>18741610000</v>
      </c>
      <c r="G88" s="4">
        <f t="shared" si="13"/>
        <v>111000</v>
      </c>
      <c r="H88" s="4">
        <f t="shared" si="14"/>
        <v>41070000</v>
      </c>
    </row>
    <row r="89" spans="1:8" x14ac:dyDescent="0.2">
      <c r="A89" s="4">
        <v>85</v>
      </c>
      <c r="B89" s="4">
        <v>371</v>
      </c>
      <c r="C89" s="4">
        <v>300</v>
      </c>
      <c r="D89" s="4">
        <f t="shared" si="10"/>
        <v>137641</v>
      </c>
      <c r="E89" s="4">
        <f t="shared" si="11"/>
        <v>51064811</v>
      </c>
      <c r="F89" s="4">
        <f t="shared" si="12"/>
        <v>18945044881</v>
      </c>
      <c r="G89" s="4">
        <f t="shared" si="13"/>
        <v>111300</v>
      </c>
      <c r="H89" s="4">
        <f t="shared" si="14"/>
        <v>41292300</v>
      </c>
    </row>
    <row r="90" spans="1:8" x14ac:dyDescent="0.2">
      <c r="A90" s="4">
        <v>86</v>
      </c>
      <c r="B90" s="4">
        <v>381</v>
      </c>
      <c r="C90" s="4">
        <v>300</v>
      </c>
      <c r="D90" s="4">
        <f t="shared" si="10"/>
        <v>145161</v>
      </c>
      <c r="E90" s="4">
        <f t="shared" si="11"/>
        <v>55306341</v>
      </c>
      <c r="F90" s="4">
        <f t="shared" si="12"/>
        <v>21071715921</v>
      </c>
      <c r="G90" s="4">
        <f t="shared" si="13"/>
        <v>114300</v>
      </c>
      <c r="H90" s="4">
        <f t="shared" si="14"/>
        <v>43548300</v>
      </c>
    </row>
    <row r="91" spans="1:8" x14ac:dyDescent="0.2">
      <c r="A91" s="4">
        <v>87</v>
      </c>
      <c r="B91" s="4">
        <v>378</v>
      </c>
      <c r="C91" s="4">
        <v>300</v>
      </c>
      <c r="D91" s="4">
        <f t="shared" si="10"/>
        <v>142884</v>
      </c>
      <c r="E91" s="4">
        <f t="shared" si="11"/>
        <v>54010152</v>
      </c>
      <c r="F91" s="4">
        <f t="shared" si="12"/>
        <v>20415837456</v>
      </c>
      <c r="G91" s="4">
        <f t="shared" si="13"/>
        <v>113400</v>
      </c>
      <c r="H91" s="4">
        <f t="shared" si="14"/>
        <v>42865200</v>
      </c>
    </row>
    <row r="92" spans="1:8" x14ac:dyDescent="0.2">
      <c r="A92" s="4">
        <v>88</v>
      </c>
      <c r="B92" s="4">
        <v>376</v>
      </c>
      <c r="C92" s="4">
        <v>300</v>
      </c>
      <c r="D92" s="4">
        <f t="shared" si="10"/>
        <v>141376</v>
      </c>
      <c r="E92" s="4">
        <f t="shared" si="11"/>
        <v>53157376</v>
      </c>
      <c r="F92" s="4">
        <f t="shared" si="12"/>
        <v>19987173376</v>
      </c>
      <c r="G92" s="4">
        <f t="shared" si="13"/>
        <v>112800</v>
      </c>
      <c r="H92" s="4">
        <f t="shared" si="14"/>
        <v>42412800</v>
      </c>
    </row>
    <row r="93" spans="1:8" x14ac:dyDescent="0.2">
      <c r="A93" s="4">
        <v>89</v>
      </c>
      <c r="B93" s="4">
        <v>374</v>
      </c>
      <c r="C93" s="4">
        <v>300</v>
      </c>
      <c r="D93" s="4">
        <f t="shared" si="10"/>
        <v>139876</v>
      </c>
      <c r="E93" s="4">
        <f t="shared" si="11"/>
        <v>52313624</v>
      </c>
      <c r="F93" s="4">
        <f t="shared" si="12"/>
        <v>19565295376</v>
      </c>
      <c r="G93" s="4">
        <f t="shared" si="13"/>
        <v>112200</v>
      </c>
      <c r="H93" s="4">
        <f t="shared" si="14"/>
        <v>41962800</v>
      </c>
    </row>
    <row r="94" spans="1:8" x14ac:dyDescent="0.2">
      <c r="A94" s="4">
        <v>90</v>
      </c>
      <c r="B94" s="4">
        <v>373</v>
      </c>
      <c r="C94" s="4">
        <v>300</v>
      </c>
      <c r="D94" s="4">
        <f t="shared" si="10"/>
        <v>139129</v>
      </c>
      <c r="E94" s="4">
        <f t="shared" si="11"/>
        <v>51895117</v>
      </c>
      <c r="F94" s="4">
        <f t="shared" si="12"/>
        <v>19356878641</v>
      </c>
      <c r="G94" s="4">
        <f t="shared" si="13"/>
        <v>111900</v>
      </c>
      <c r="H94" s="4">
        <f t="shared" si="14"/>
        <v>41738700</v>
      </c>
    </row>
    <row r="95" spans="1:8" x14ac:dyDescent="0.2">
      <c r="A95" s="4">
        <v>91</v>
      </c>
      <c r="B95" s="4">
        <v>372</v>
      </c>
      <c r="C95" s="4">
        <v>300</v>
      </c>
      <c r="D95" s="4">
        <f t="shared" si="10"/>
        <v>138384</v>
      </c>
      <c r="E95" s="4">
        <f t="shared" si="11"/>
        <v>51478848</v>
      </c>
      <c r="F95" s="4">
        <f t="shared" si="12"/>
        <v>19150131456</v>
      </c>
      <c r="G95" s="4">
        <f t="shared" si="13"/>
        <v>111600</v>
      </c>
      <c r="H95" s="4">
        <f t="shared" si="14"/>
        <v>41515200</v>
      </c>
    </row>
    <row r="96" spans="1:8" x14ac:dyDescent="0.2">
      <c r="A96" s="4">
        <v>92</v>
      </c>
      <c r="B96" s="4">
        <v>370</v>
      </c>
      <c r="C96" s="4">
        <v>300</v>
      </c>
      <c r="D96" s="4">
        <f t="shared" si="10"/>
        <v>136900</v>
      </c>
      <c r="E96" s="4">
        <f t="shared" si="11"/>
        <v>50653000</v>
      </c>
      <c r="F96" s="4">
        <f t="shared" si="12"/>
        <v>18741610000</v>
      </c>
      <c r="G96" s="4">
        <f t="shared" si="13"/>
        <v>111000</v>
      </c>
      <c r="H96" s="4">
        <f t="shared" si="14"/>
        <v>41070000</v>
      </c>
    </row>
    <row r="97" spans="1:8" x14ac:dyDescent="0.2">
      <c r="A97" s="7" t="s">
        <v>16</v>
      </c>
      <c r="B97" s="7">
        <f t="shared" ref="B97:H97" si="15">SUM(B5:B96)</f>
        <v>18607</v>
      </c>
      <c r="C97" s="7">
        <f t="shared" si="15"/>
        <v>14000</v>
      </c>
      <c r="D97" s="7">
        <f t="shared" si="15"/>
        <v>4812501</v>
      </c>
      <c r="E97" s="7">
        <f t="shared" si="15"/>
        <v>1481433553</v>
      </c>
      <c r="F97" s="7">
        <f t="shared" si="15"/>
        <v>503451727473</v>
      </c>
      <c r="G97" s="7">
        <f t="shared" si="15"/>
        <v>3740040</v>
      </c>
      <c r="H97" s="7">
        <f t="shared" si="15"/>
        <v>1165366120</v>
      </c>
    </row>
    <row r="100" spans="1:8" x14ac:dyDescent="0.2">
      <c r="A100" s="6" t="s">
        <v>17</v>
      </c>
    </row>
    <row r="101" spans="1:8" x14ac:dyDescent="0.2">
      <c r="A101" s="6" t="s">
        <v>18</v>
      </c>
      <c r="B101">
        <f>((B2*G97)-(B97*C97)) / ((B2*D97)-(B97^2))</f>
        <v>0.86590685930538458</v>
      </c>
    </row>
    <row r="102" spans="1:8" x14ac:dyDescent="0.2">
      <c r="A102" s="6" t="s">
        <v>19</v>
      </c>
      <c r="B102">
        <f>(C97-B101*B97)/B2</f>
        <v>-22.95574925103578</v>
      </c>
    </row>
    <row r="105" spans="1:8" x14ac:dyDescent="0.2">
      <c r="A105" s="6" t="s">
        <v>20</v>
      </c>
    </row>
    <row r="106" spans="1:8" x14ac:dyDescent="0.2">
      <c r="A106" s="6" t="s">
        <v>21</v>
      </c>
    </row>
    <row r="107" spans="1:8" x14ac:dyDescent="0.2">
      <c r="B107" s="8" t="s">
        <v>7</v>
      </c>
      <c r="C107" s="8" t="s">
        <v>22</v>
      </c>
      <c r="D107" s="8" t="s">
        <v>23</v>
      </c>
      <c r="F107" s="6" t="s">
        <v>24</v>
      </c>
    </row>
    <row r="108" spans="1:8" x14ac:dyDescent="0.2">
      <c r="A108" t="s">
        <v>25</v>
      </c>
      <c r="B108">
        <f>B2</f>
        <v>92</v>
      </c>
      <c r="C108">
        <f>B97</f>
        <v>18607</v>
      </c>
      <c r="D108">
        <f>D97</f>
        <v>4812501</v>
      </c>
      <c r="F108">
        <f>C97</f>
        <v>14000</v>
      </c>
    </row>
    <row r="109" spans="1:8" x14ac:dyDescent="0.2">
      <c r="A109" t="s">
        <v>26</v>
      </c>
      <c r="B109">
        <f>B97</f>
        <v>18607</v>
      </c>
      <c r="C109">
        <f>D97</f>
        <v>4812501</v>
      </c>
      <c r="D109">
        <f>E97</f>
        <v>1481433553</v>
      </c>
      <c r="F109">
        <f>G97</f>
        <v>3740040</v>
      </c>
    </row>
    <row r="110" spans="1:8" x14ac:dyDescent="0.2">
      <c r="A110" t="s">
        <v>27</v>
      </c>
      <c r="B110">
        <f>D97</f>
        <v>4812501</v>
      </c>
      <c r="C110">
        <f>E97</f>
        <v>1481433553</v>
      </c>
      <c r="D110">
        <f>F97</f>
        <v>503451727473</v>
      </c>
      <c r="F110">
        <f>H97</f>
        <v>1165366120</v>
      </c>
    </row>
    <row r="112" spans="1:8" x14ac:dyDescent="0.2">
      <c r="A112" s="6" t="s">
        <v>28</v>
      </c>
    </row>
    <row r="113" spans="1:2" x14ac:dyDescent="0.2">
      <c r="A113" s="6" t="s">
        <v>29</v>
      </c>
      <c r="B113">
        <f>INDEX(MMULT(MINVERSE(B108:D110),F108:F110),1,1)</f>
        <v>-78.984475425260825</v>
      </c>
    </row>
    <row r="114" spans="1:2" x14ac:dyDescent="0.2">
      <c r="A114" s="6" t="s">
        <v>30</v>
      </c>
      <c r="B114">
        <f>INDEX(MMULT(MINVERSE(B108:D110),F108:F110),2,1)</f>
        <v>1.46049920612721</v>
      </c>
    </row>
    <row r="115" spans="1:2" x14ac:dyDescent="0.2">
      <c r="A115" s="6" t="s">
        <v>31</v>
      </c>
      <c r="B115">
        <f>INDEX(MMULT(MINVERSE(B108:D110),F108:F110),3,1)</f>
        <v>-1.2278308075749922E-3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40</v>
      </c>
    </row>
    <row r="2" spans="1:8" x14ac:dyDescent="0.2">
      <c r="A2" s="6" t="s">
        <v>7</v>
      </c>
      <c r="B2">
        <v>40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556</v>
      </c>
      <c r="C5" s="4">
        <v>500</v>
      </c>
      <c r="D5" s="4">
        <f t="shared" ref="D5:D44" si="0">B5^2</f>
        <v>309136</v>
      </c>
      <c r="E5" s="4">
        <f t="shared" ref="E5:E44" si="1">B5^3</f>
        <v>171879616</v>
      </c>
      <c r="F5" s="4">
        <f t="shared" ref="F5:F44" si="2">B5^4</f>
        <v>95565066496</v>
      </c>
      <c r="G5" s="4">
        <f t="shared" ref="G5:G44" si="3">B5*C5</f>
        <v>278000</v>
      </c>
      <c r="H5" s="4">
        <f t="shared" ref="H5:H44" si="4">D5*C5</f>
        <v>154568000</v>
      </c>
    </row>
    <row r="6" spans="1:8" x14ac:dyDescent="0.2">
      <c r="A6" s="4">
        <v>2</v>
      </c>
      <c r="B6" s="4">
        <v>562</v>
      </c>
      <c r="C6" s="4">
        <v>500</v>
      </c>
      <c r="D6" s="4">
        <f t="shared" si="0"/>
        <v>315844</v>
      </c>
      <c r="E6" s="4">
        <f t="shared" si="1"/>
        <v>177504328</v>
      </c>
      <c r="F6" s="4">
        <f t="shared" si="2"/>
        <v>99757432336</v>
      </c>
      <c r="G6" s="4">
        <f t="shared" si="3"/>
        <v>281000</v>
      </c>
      <c r="H6" s="4">
        <f t="shared" si="4"/>
        <v>157922000</v>
      </c>
    </row>
    <row r="7" spans="1:8" x14ac:dyDescent="0.2">
      <c r="A7" s="4">
        <v>3</v>
      </c>
      <c r="B7" s="4">
        <v>571</v>
      </c>
      <c r="C7" s="4">
        <v>500</v>
      </c>
      <c r="D7" s="4">
        <f t="shared" si="0"/>
        <v>326041</v>
      </c>
      <c r="E7" s="4">
        <f t="shared" si="1"/>
        <v>186169411</v>
      </c>
      <c r="F7" s="4">
        <f t="shared" si="2"/>
        <v>106302733681</v>
      </c>
      <c r="G7" s="4">
        <f t="shared" si="3"/>
        <v>285500</v>
      </c>
      <c r="H7" s="4">
        <f t="shared" si="4"/>
        <v>163020500</v>
      </c>
    </row>
    <row r="8" spans="1:8" x14ac:dyDescent="0.2">
      <c r="A8" s="4">
        <v>4</v>
      </c>
      <c r="B8" s="4">
        <v>588</v>
      </c>
      <c r="C8" s="4">
        <v>500</v>
      </c>
      <c r="D8" s="4">
        <f t="shared" si="0"/>
        <v>345744</v>
      </c>
      <c r="E8" s="4">
        <f t="shared" si="1"/>
        <v>203297472</v>
      </c>
      <c r="F8" s="4">
        <f t="shared" si="2"/>
        <v>119538913536</v>
      </c>
      <c r="G8" s="4">
        <f t="shared" si="3"/>
        <v>294000</v>
      </c>
      <c r="H8" s="4">
        <f t="shared" si="4"/>
        <v>172872000</v>
      </c>
    </row>
    <row r="9" spans="1:8" x14ac:dyDescent="0.2">
      <c r="A9" s="4">
        <v>5</v>
      </c>
      <c r="B9" s="4">
        <v>580</v>
      </c>
      <c r="C9" s="4">
        <v>500</v>
      </c>
      <c r="D9" s="4">
        <f t="shared" si="0"/>
        <v>336400</v>
      </c>
      <c r="E9" s="4">
        <f t="shared" si="1"/>
        <v>195112000</v>
      </c>
      <c r="F9" s="4">
        <f t="shared" si="2"/>
        <v>113164960000</v>
      </c>
      <c r="G9" s="4">
        <f t="shared" si="3"/>
        <v>290000</v>
      </c>
      <c r="H9" s="4">
        <f t="shared" si="4"/>
        <v>168200000</v>
      </c>
    </row>
    <row r="10" spans="1:8" x14ac:dyDescent="0.2">
      <c r="A10" s="4">
        <v>6</v>
      </c>
      <c r="B10" s="4">
        <v>590</v>
      </c>
      <c r="C10" s="4">
        <v>500</v>
      </c>
      <c r="D10" s="4">
        <f t="shared" si="0"/>
        <v>348100</v>
      </c>
      <c r="E10" s="4">
        <f t="shared" si="1"/>
        <v>205379000</v>
      </c>
      <c r="F10" s="4">
        <f t="shared" si="2"/>
        <v>121173610000</v>
      </c>
      <c r="G10" s="4">
        <f t="shared" si="3"/>
        <v>295000</v>
      </c>
      <c r="H10" s="4">
        <f t="shared" si="4"/>
        <v>174050000</v>
      </c>
    </row>
    <row r="11" spans="1:8" x14ac:dyDescent="0.2">
      <c r="A11" s="4">
        <v>7</v>
      </c>
      <c r="B11" s="4">
        <v>604</v>
      </c>
      <c r="C11" s="4">
        <v>500</v>
      </c>
      <c r="D11" s="4">
        <f t="shared" si="0"/>
        <v>364816</v>
      </c>
      <c r="E11" s="4">
        <f t="shared" si="1"/>
        <v>220348864</v>
      </c>
      <c r="F11" s="4">
        <f t="shared" si="2"/>
        <v>133090713856</v>
      </c>
      <c r="G11" s="4">
        <f t="shared" si="3"/>
        <v>302000</v>
      </c>
      <c r="H11" s="4">
        <f t="shared" si="4"/>
        <v>182408000</v>
      </c>
    </row>
    <row r="12" spans="1:8" x14ac:dyDescent="0.2">
      <c r="A12" s="4">
        <v>8</v>
      </c>
      <c r="B12" s="4">
        <v>607</v>
      </c>
      <c r="C12" s="4">
        <v>500</v>
      </c>
      <c r="D12" s="4">
        <f t="shared" si="0"/>
        <v>368449</v>
      </c>
      <c r="E12" s="4">
        <f t="shared" si="1"/>
        <v>223648543</v>
      </c>
      <c r="F12" s="4">
        <f t="shared" si="2"/>
        <v>135754665601</v>
      </c>
      <c r="G12" s="4">
        <f t="shared" si="3"/>
        <v>303500</v>
      </c>
      <c r="H12" s="4">
        <f t="shared" si="4"/>
        <v>184224500</v>
      </c>
    </row>
    <row r="13" spans="1:8" x14ac:dyDescent="0.2">
      <c r="A13" s="4">
        <v>9</v>
      </c>
      <c r="B13" s="4">
        <v>611</v>
      </c>
      <c r="C13" s="4">
        <v>500</v>
      </c>
      <c r="D13" s="4">
        <f t="shared" si="0"/>
        <v>373321</v>
      </c>
      <c r="E13" s="4">
        <f t="shared" si="1"/>
        <v>228099131</v>
      </c>
      <c r="F13" s="4">
        <f t="shared" si="2"/>
        <v>139368569041</v>
      </c>
      <c r="G13" s="4">
        <f t="shared" si="3"/>
        <v>305500</v>
      </c>
      <c r="H13" s="4">
        <f t="shared" si="4"/>
        <v>186660500</v>
      </c>
    </row>
    <row r="14" spans="1:8" x14ac:dyDescent="0.2">
      <c r="A14" s="4">
        <v>10</v>
      </c>
      <c r="B14" s="4">
        <v>658</v>
      </c>
      <c r="C14" s="4">
        <v>500</v>
      </c>
      <c r="D14" s="4">
        <f t="shared" si="0"/>
        <v>432964</v>
      </c>
      <c r="E14" s="4">
        <f t="shared" si="1"/>
        <v>284890312</v>
      </c>
      <c r="F14" s="4">
        <f t="shared" si="2"/>
        <v>187457825296</v>
      </c>
      <c r="G14" s="4">
        <f t="shared" si="3"/>
        <v>329000</v>
      </c>
      <c r="H14" s="4">
        <f t="shared" si="4"/>
        <v>216482000</v>
      </c>
    </row>
    <row r="15" spans="1:8" x14ac:dyDescent="0.2">
      <c r="A15" s="4">
        <v>11</v>
      </c>
      <c r="B15" s="4">
        <v>745</v>
      </c>
      <c r="C15" s="4">
        <v>500</v>
      </c>
      <c r="D15" s="4">
        <f t="shared" si="0"/>
        <v>555025</v>
      </c>
      <c r="E15" s="4">
        <f t="shared" si="1"/>
        <v>413493625</v>
      </c>
      <c r="F15" s="4">
        <f t="shared" si="2"/>
        <v>308052750625</v>
      </c>
      <c r="G15" s="4">
        <f t="shared" si="3"/>
        <v>372500</v>
      </c>
      <c r="H15" s="4">
        <f t="shared" si="4"/>
        <v>277512500</v>
      </c>
    </row>
    <row r="16" spans="1:8" x14ac:dyDescent="0.2">
      <c r="A16" s="4">
        <v>12</v>
      </c>
      <c r="B16" s="4">
        <v>772</v>
      </c>
      <c r="C16" s="4">
        <v>500</v>
      </c>
      <c r="D16" s="4">
        <f t="shared" si="0"/>
        <v>595984</v>
      </c>
      <c r="E16" s="4">
        <f t="shared" si="1"/>
        <v>460099648</v>
      </c>
      <c r="F16" s="4">
        <f t="shared" si="2"/>
        <v>355196928256</v>
      </c>
      <c r="G16" s="4">
        <f t="shared" si="3"/>
        <v>386000</v>
      </c>
      <c r="H16" s="4">
        <f t="shared" si="4"/>
        <v>297992000</v>
      </c>
    </row>
    <row r="17" spans="1:8" x14ac:dyDescent="0.2">
      <c r="A17" s="4">
        <v>13</v>
      </c>
      <c r="B17" s="4">
        <v>756</v>
      </c>
      <c r="C17" s="4">
        <v>500</v>
      </c>
      <c r="D17" s="4">
        <f t="shared" si="0"/>
        <v>571536</v>
      </c>
      <c r="E17" s="4">
        <f t="shared" si="1"/>
        <v>432081216</v>
      </c>
      <c r="F17" s="4">
        <f t="shared" si="2"/>
        <v>326653399296</v>
      </c>
      <c r="G17" s="4">
        <f t="shared" si="3"/>
        <v>378000</v>
      </c>
      <c r="H17" s="4">
        <f t="shared" si="4"/>
        <v>285768000</v>
      </c>
    </row>
    <row r="18" spans="1:8" x14ac:dyDescent="0.2">
      <c r="A18" s="4">
        <v>14</v>
      </c>
      <c r="B18" s="4">
        <v>735</v>
      </c>
      <c r="C18" s="4">
        <v>500</v>
      </c>
      <c r="D18" s="4">
        <f t="shared" si="0"/>
        <v>540225</v>
      </c>
      <c r="E18" s="4">
        <f t="shared" si="1"/>
        <v>397065375</v>
      </c>
      <c r="F18" s="4">
        <f t="shared" si="2"/>
        <v>291843050625</v>
      </c>
      <c r="G18" s="4">
        <f t="shared" si="3"/>
        <v>367500</v>
      </c>
      <c r="H18" s="4">
        <f t="shared" si="4"/>
        <v>270112500</v>
      </c>
    </row>
    <row r="19" spans="1:8" x14ac:dyDescent="0.2">
      <c r="A19" s="4">
        <v>15</v>
      </c>
      <c r="B19" s="4">
        <v>723</v>
      </c>
      <c r="C19" s="4">
        <v>500</v>
      </c>
      <c r="D19" s="4">
        <f t="shared" si="0"/>
        <v>522729</v>
      </c>
      <c r="E19" s="4">
        <f t="shared" si="1"/>
        <v>377933067</v>
      </c>
      <c r="F19" s="4">
        <f t="shared" si="2"/>
        <v>273245607441</v>
      </c>
      <c r="G19" s="4">
        <f t="shared" si="3"/>
        <v>361500</v>
      </c>
      <c r="H19" s="4">
        <f t="shared" si="4"/>
        <v>261364500</v>
      </c>
    </row>
    <row r="20" spans="1:8" x14ac:dyDescent="0.2">
      <c r="A20" s="4">
        <v>16</v>
      </c>
      <c r="B20" s="4">
        <v>721</v>
      </c>
      <c r="C20" s="4">
        <v>500</v>
      </c>
      <c r="D20" s="4">
        <f t="shared" si="0"/>
        <v>519841</v>
      </c>
      <c r="E20" s="4">
        <f t="shared" si="1"/>
        <v>374805361</v>
      </c>
      <c r="F20" s="4">
        <f t="shared" si="2"/>
        <v>270234665281</v>
      </c>
      <c r="G20" s="4">
        <f t="shared" si="3"/>
        <v>360500</v>
      </c>
      <c r="H20" s="4">
        <f t="shared" si="4"/>
        <v>259920500</v>
      </c>
    </row>
    <row r="21" spans="1:8" x14ac:dyDescent="0.2">
      <c r="A21" s="4">
        <v>17</v>
      </c>
      <c r="B21" s="4">
        <v>704</v>
      </c>
      <c r="C21" s="4">
        <v>500</v>
      </c>
      <c r="D21" s="4">
        <f t="shared" si="0"/>
        <v>495616</v>
      </c>
      <c r="E21" s="4">
        <f t="shared" si="1"/>
        <v>348913664</v>
      </c>
      <c r="F21" s="4">
        <f t="shared" si="2"/>
        <v>245635219456</v>
      </c>
      <c r="G21" s="4">
        <f t="shared" si="3"/>
        <v>352000</v>
      </c>
      <c r="H21" s="4">
        <f t="shared" si="4"/>
        <v>247808000</v>
      </c>
    </row>
    <row r="22" spans="1:8" x14ac:dyDescent="0.2">
      <c r="A22" s="4">
        <v>18</v>
      </c>
      <c r="B22" s="4">
        <v>727</v>
      </c>
      <c r="C22" s="4">
        <v>500</v>
      </c>
      <c r="D22" s="4">
        <f t="shared" si="0"/>
        <v>528529</v>
      </c>
      <c r="E22" s="4">
        <f t="shared" si="1"/>
        <v>384240583</v>
      </c>
      <c r="F22" s="4">
        <f t="shared" si="2"/>
        <v>279342903841</v>
      </c>
      <c r="G22" s="4">
        <f t="shared" si="3"/>
        <v>363500</v>
      </c>
      <c r="H22" s="4">
        <f t="shared" si="4"/>
        <v>264264500</v>
      </c>
    </row>
    <row r="23" spans="1:8" x14ac:dyDescent="0.2">
      <c r="A23" s="4">
        <v>19</v>
      </c>
      <c r="B23" s="4">
        <v>702</v>
      </c>
      <c r="C23" s="4">
        <v>500</v>
      </c>
      <c r="D23" s="4">
        <f t="shared" si="0"/>
        <v>492804</v>
      </c>
      <c r="E23" s="4">
        <f t="shared" si="1"/>
        <v>345948408</v>
      </c>
      <c r="F23" s="4">
        <f t="shared" si="2"/>
        <v>242855782416</v>
      </c>
      <c r="G23" s="4">
        <f t="shared" si="3"/>
        <v>351000</v>
      </c>
      <c r="H23" s="4">
        <f t="shared" si="4"/>
        <v>246402000</v>
      </c>
    </row>
    <row r="24" spans="1:8" x14ac:dyDescent="0.2">
      <c r="A24" s="4">
        <v>20</v>
      </c>
      <c r="B24" s="4">
        <v>713</v>
      </c>
      <c r="C24" s="4">
        <v>500</v>
      </c>
      <c r="D24" s="4">
        <f t="shared" si="0"/>
        <v>508369</v>
      </c>
      <c r="E24" s="4">
        <f t="shared" si="1"/>
        <v>362467097</v>
      </c>
      <c r="F24" s="4">
        <f t="shared" si="2"/>
        <v>258439040161</v>
      </c>
      <c r="G24" s="4">
        <f t="shared" si="3"/>
        <v>356500</v>
      </c>
      <c r="H24" s="4">
        <f t="shared" si="4"/>
        <v>254184500</v>
      </c>
    </row>
    <row r="25" spans="1:8" x14ac:dyDescent="0.2">
      <c r="A25" s="4">
        <v>21</v>
      </c>
      <c r="B25" s="4">
        <v>776</v>
      </c>
      <c r="C25" s="4">
        <v>700</v>
      </c>
      <c r="D25" s="4">
        <f t="shared" si="0"/>
        <v>602176</v>
      </c>
      <c r="E25" s="4">
        <f t="shared" si="1"/>
        <v>467288576</v>
      </c>
      <c r="F25" s="4">
        <f t="shared" si="2"/>
        <v>362615934976</v>
      </c>
      <c r="G25" s="4">
        <f t="shared" si="3"/>
        <v>543200</v>
      </c>
      <c r="H25" s="4">
        <f t="shared" si="4"/>
        <v>421523200</v>
      </c>
    </row>
    <row r="26" spans="1:8" x14ac:dyDescent="0.2">
      <c r="A26" s="4">
        <v>22</v>
      </c>
      <c r="B26" s="4">
        <v>787</v>
      </c>
      <c r="C26" s="4">
        <v>700</v>
      </c>
      <c r="D26" s="4">
        <f t="shared" si="0"/>
        <v>619369</v>
      </c>
      <c r="E26" s="4">
        <f t="shared" si="1"/>
        <v>487443403</v>
      </c>
      <c r="F26" s="4">
        <f t="shared" si="2"/>
        <v>383617958161</v>
      </c>
      <c r="G26" s="4">
        <f t="shared" si="3"/>
        <v>550900</v>
      </c>
      <c r="H26" s="4">
        <f t="shared" si="4"/>
        <v>433558300</v>
      </c>
    </row>
    <row r="27" spans="1:8" x14ac:dyDescent="0.2">
      <c r="A27" s="4">
        <v>23</v>
      </c>
      <c r="B27" s="4">
        <v>818</v>
      </c>
      <c r="C27" s="4">
        <v>700</v>
      </c>
      <c r="D27" s="4">
        <f t="shared" si="0"/>
        <v>669124</v>
      </c>
      <c r="E27" s="4">
        <f t="shared" si="1"/>
        <v>547343432</v>
      </c>
      <c r="F27" s="4">
        <f t="shared" si="2"/>
        <v>447726927376</v>
      </c>
      <c r="G27" s="4">
        <f t="shared" si="3"/>
        <v>572600</v>
      </c>
      <c r="H27" s="4">
        <f t="shared" si="4"/>
        <v>468386800</v>
      </c>
    </row>
    <row r="28" spans="1:8" x14ac:dyDescent="0.2">
      <c r="A28" s="4">
        <v>24</v>
      </c>
      <c r="B28" s="4">
        <v>843</v>
      </c>
      <c r="C28" s="4">
        <v>700</v>
      </c>
      <c r="D28" s="4">
        <f t="shared" si="0"/>
        <v>710649</v>
      </c>
      <c r="E28" s="4">
        <f t="shared" si="1"/>
        <v>599077107</v>
      </c>
      <c r="F28" s="4">
        <f t="shared" si="2"/>
        <v>505022001201</v>
      </c>
      <c r="G28" s="4">
        <f t="shared" si="3"/>
        <v>590100</v>
      </c>
      <c r="H28" s="4">
        <f t="shared" si="4"/>
        <v>497454300</v>
      </c>
    </row>
    <row r="29" spans="1:8" x14ac:dyDescent="0.2">
      <c r="A29" s="4">
        <v>25</v>
      </c>
      <c r="B29" s="4">
        <v>852</v>
      </c>
      <c r="C29" s="4">
        <v>700</v>
      </c>
      <c r="D29" s="4">
        <f t="shared" si="0"/>
        <v>725904</v>
      </c>
      <c r="E29" s="4">
        <f t="shared" si="1"/>
        <v>618470208</v>
      </c>
      <c r="F29" s="4">
        <f t="shared" si="2"/>
        <v>526936617216</v>
      </c>
      <c r="G29" s="4">
        <f t="shared" si="3"/>
        <v>596400</v>
      </c>
      <c r="H29" s="4">
        <f t="shared" si="4"/>
        <v>508132800</v>
      </c>
    </row>
    <row r="30" spans="1:8" x14ac:dyDescent="0.2">
      <c r="A30" s="4">
        <v>26</v>
      </c>
      <c r="B30" s="4">
        <v>842</v>
      </c>
      <c r="C30" s="4">
        <v>700</v>
      </c>
      <c r="D30" s="4">
        <f t="shared" si="0"/>
        <v>708964</v>
      </c>
      <c r="E30" s="4">
        <f t="shared" si="1"/>
        <v>596947688</v>
      </c>
      <c r="F30" s="4">
        <f t="shared" si="2"/>
        <v>502629953296</v>
      </c>
      <c r="G30" s="4">
        <f t="shared" si="3"/>
        <v>589400</v>
      </c>
      <c r="H30" s="4">
        <f t="shared" si="4"/>
        <v>496274800</v>
      </c>
    </row>
    <row r="31" spans="1:8" x14ac:dyDescent="0.2">
      <c r="A31" s="4">
        <v>27</v>
      </c>
      <c r="B31" s="4">
        <v>752</v>
      </c>
      <c r="C31" s="4">
        <v>700</v>
      </c>
      <c r="D31" s="4">
        <f t="shared" si="0"/>
        <v>565504</v>
      </c>
      <c r="E31" s="4">
        <f t="shared" si="1"/>
        <v>425259008</v>
      </c>
      <c r="F31" s="4">
        <f t="shared" si="2"/>
        <v>319794774016</v>
      </c>
      <c r="G31" s="4">
        <f t="shared" si="3"/>
        <v>526400</v>
      </c>
      <c r="H31" s="4">
        <f t="shared" si="4"/>
        <v>395852800</v>
      </c>
    </row>
    <row r="32" spans="1:8" x14ac:dyDescent="0.2">
      <c r="A32" s="4">
        <v>28</v>
      </c>
      <c r="B32" s="4">
        <v>780</v>
      </c>
      <c r="C32" s="4">
        <v>700</v>
      </c>
      <c r="D32" s="4">
        <f t="shared" si="0"/>
        <v>608400</v>
      </c>
      <c r="E32" s="4">
        <f t="shared" si="1"/>
        <v>474552000</v>
      </c>
      <c r="F32" s="4">
        <f t="shared" si="2"/>
        <v>370150560000</v>
      </c>
      <c r="G32" s="4">
        <f t="shared" si="3"/>
        <v>546000</v>
      </c>
      <c r="H32" s="4">
        <f t="shared" si="4"/>
        <v>425880000</v>
      </c>
    </row>
    <row r="33" spans="1:8" x14ac:dyDescent="0.2">
      <c r="A33" s="4">
        <v>29</v>
      </c>
      <c r="B33" s="4">
        <v>724</v>
      </c>
      <c r="C33" s="4">
        <v>700</v>
      </c>
      <c r="D33" s="4">
        <f t="shared" si="0"/>
        <v>524176</v>
      </c>
      <c r="E33" s="4">
        <f t="shared" si="1"/>
        <v>379503424</v>
      </c>
      <c r="F33" s="4">
        <f t="shared" si="2"/>
        <v>274760478976</v>
      </c>
      <c r="G33" s="4">
        <f t="shared" si="3"/>
        <v>506800</v>
      </c>
      <c r="H33" s="4">
        <f t="shared" si="4"/>
        <v>366923200</v>
      </c>
    </row>
    <row r="34" spans="1:8" x14ac:dyDescent="0.2">
      <c r="A34" s="4">
        <v>30</v>
      </c>
      <c r="B34" s="4">
        <v>715</v>
      </c>
      <c r="C34" s="4">
        <v>700</v>
      </c>
      <c r="D34" s="4">
        <f t="shared" si="0"/>
        <v>511225</v>
      </c>
      <c r="E34" s="4">
        <f t="shared" si="1"/>
        <v>365525875</v>
      </c>
      <c r="F34" s="4">
        <f t="shared" si="2"/>
        <v>261351000625</v>
      </c>
      <c r="G34" s="4">
        <f t="shared" si="3"/>
        <v>500500</v>
      </c>
      <c r="H34" s="4">
        <f t="shared" si="4"/>
        <v>357857500</v>
      </c>
    </row>
    <row r="35" spans="1:8" x14ac:dyDescent="0.2">
      <c r="A35" s="4">
        <v>31</v>
      </c>
      <c r="B35" s="4">
        <v>759</v>
      </c>
      <c r="C35" s="4">
        <v>700</v>
      </c>
      <c r="D35" s="4">
        <f t="shared" si="0"/>
        <v>576081</v>
      </c>
      <c r="E35" s="4">
        <f t="shared" si="1"/>
        <v>437245479</v>
      </c>
      <c r="F35" s="4">
        <f t="shared" si="2"/>
        <v>331869318561</v>
      </c>
      <c r="G35" s="4">
        <f t="shared" si="3"/>
        <v>531300</v>
      </c>
      <c r="H35" s="4">
        <f t="shared" si="4"/>
        <v>403256700</v>
      </c>
    </row>
    <row r="36" spans="1:8" x14ac:dyDescent="0.2">
      <c r="A36" s="4">
        <v>32</v>
      </c>
      <c r="B36" s="4">
        <v>801</v>
      </c>
      <c r="C36" s="4">
        <v>700</v>
      </c>
      <c r="D36" s="4">
        <f t="shared" si="0"/>
        <v>641601</v>
      </c>
      <c r="E36" s="4">
        <f t="shared" si="1"/>
        <v>513922401</v>
      </c>
      <c r="F36" s="4">
        <f t="shared" si="2"/>
        <v>411651843201</v>
      </c>
      <c r="G36" s="4">
        <f t="shared" si="3"/>
        <v>560700</v>
      </c>
      <c r="H36" s="4">
        <f t="shared" si="4"/>
        <v>449120700</v>
      </c>
    </row>
    <row r="37" spans="1:8" x14ac:dyDescent="0.2">
      <c r="A37" s="4">
        <v>33</v>
      </c>
      <c r="B37" s="4">
        <v>785</v>
      </c>
      <c r="C37" s="4">
        <v>700</v>
      </c>
      <c r="D37" s="4">
        <f t="shared" si="0"/>
        <v>616225</v>
      </c>
      <c r="E37" s="4">
        <f t="shared" si="1"/>
        <v>483736625</v>
      </c>
      <c r="F37" s="4">
        <f t="shared" si="2"/>
        <v>379733250625</v>
      </c>
      <c r="G37" s="4">
        <f t="shared" si="3"/>
        <v>549500</v>
      </c>
      <c r="H37" s="4">
        <f t="shared" si="4"/>
        <v>431357500</v>
      </c>
    </row>
    <row r="38" spans="1:8" x14ac:dyDescent="0.2">
      <c r="A38" s="4">
        <v>34</v>
      </c>
      <c r="B38" s="4">
        <v>804</v>
      </c>
      <c r="C38" s="4">
        <v>700</v>
      </c>
      <c r="D38" s="4">
        <f t="shared" si="0"/>
        <v>646416</v>
      </c>
      <c r="E38" s="4">
        <f t="shared" si="1"/>
        <v>519718464</v>
      </c>
      <c r="F38" s="4">
        <f t="shared" si="2"/>
        <v>417853645056</v>
      </c>
      <c r="G38" s="4">
        <f t="shared" si="3"/>
        <v>562800</v>
      </c>
      <c r="H38" s="4">
        <f t="shared" si="4"/>
        <v>452491200</v>
      </c>
    </row>
    <row r="39" spans="1:8" x14ac:dyDescent="0.2">
      <c r="A39" s="4">
        <v>35</v>
      </c>
      <c r="B39" s="4">
        <v>790</v>
      </c>
      <c r="C39" s="4">
        <v>700</v>
      </c>
      <c r="D39" s="4">
        <f t="shared" si="0"/>
        <v>624100</v>
      </c>
      <c r="E39" s="4">
        <f t="shared" si="1"/>
        <v>493039000</v>
      </c>
      <c r="F39" s="4">
        <f t="shared" si="2"/>
        <v>389500810000</v>
      </c>
      <c r="G39" s="4">
        <f t="shared" si="3"/>
        <v>553000</v>
      </c>
      <c r="H39" s="4">
        <f t="shared" si="4"/>
        <v>436870000</v>
      </c>
    </row>
    <row r="40" spans="1:8" x14ac:dyDescent="0.2">
      <c r="A40" s="4">
        <v>36</v>
      </c>
      <c r="B40" s="4">
        <v>822</v>
      </c>
      <c r="C40" s="4">
        <v>700</v>
      </c>
      <c r="D40" s="4">
        <f t="shared" si="0"/>
        <v>675684</v>
      </c>
      <c r="E40" s="4">
        <f t="shared" si="1"/>
        <v>555412248</v>
      </c>
      <c r="F40" s="4">
        <f t="shared" si="2"/>
        <v>456548867856</v>
      </c>
      <c r="G40" s="4">
        <f t="shared" si="3"/>
        <v>575400</v>
      </c>
      <c r="H40" s="4">
        <f t="shared" si="4"/>
        <v>472978800</v>
      </c>
    </row>
    <row r="41" spans="1:8" x14ac:dyDescent="0.2">
      <c r="A41" s="4">
        <v>37</v>
      </c>
      <c r="B41" s="4">
        <v>829</v>
      </c>
      <c r="C41" s="4">
        <v>700</v>
      </c>
      <c r="D41" s="4">
        <f t="shared" si="0"/>
        <v>687241</v>
      </c>
      <c r="E41" s="4">
        <f t="shared" si="1"/>
        <v>569722789</v>
      </c>
      <c r="F41" s="4">
        <f t="shared" si="2"/>
        <v>472300192081</v>
      </c>
      <c r="G41" s="4">
        <f t="shared" si="3"/>
        <v>580300</v>
      </c>
      <c r="H41" s="4">
        <f t="shared" si="4"/>
        <v>481068700</v>
      </c>
    </row>
    <row r="42" spans="1:8" x14ac:dyDescent="0.2">
      <c r="A42" s="4">
        <v>38</v>
      </c>
      <c r="B42" s="4">
        <v>817</v>
      </c>
      <c r="C42" s="4">
        <v>700</v>
      </c>
      <c r="D42" s="4">
        <f t="shared" si="0"/>
        <v>667489</v>
      </c>
      <c r="E42" s="4">
        <f t="shared" si="1"/>
        <v>545338513</v>
      </c>
      <c r="F42" s="4">
        <f t="shared" si="2"/>
        <v>445541565121</v>
      </c>
      <c r="G42" s="4">
        <f t="shared" si="3"/>
        <v>571900</v>
      </c>
      <c r="H42" s="4">
        <f t="shared" si="4"/>
        <v>467242300</v>
      </c>
    </row>
    <row r="43" spans="1:8" x14ac:dyDescent="0.2">
      <c r="A43" s="4">
        <v>39</v>
      </c>
      <c r="B43" s="4">
        <v>830</v>
      </c>
      <c r="C43" s="4">
        <v>700</v>
      </c>
      <c r="D43" s="4">
        <f t="shared" si="0"/>
        <v>688900</v>
      </c>
      <c r="E43" s="4">
        <f t="shared" si="1"/>
        <v>571787000</v>
      </c>
      <c r="F43" s="4">
        <f t="shared" si="2"/>
        <v>474583210000</v>
      </c>
      <c r="G43" s="4">
        <f t="shared" si="3"/>
        <v>581000</v>
      </c>
      <c r="H43" s="4">
        <f t="shared" si="4"/>
        <v>482230000</v>
      </c>
    </row>
    <row r="44" spans="1:8" x14ac:dyDescent="0.2">
      <c r="A44" s="4">
        <v>40</v>
      </c>
      <c r="B44" s="4">
        <v>840</v>
      </c>
      <c r="C44" s="4">
        <v>700</v>
      </c>
      <c r="D44" s="4">
        <f t="shared" si="0"/>
        <v>705600</v>
      </c>
      <c r="E44" s="4">
        <f t="shared" si="1"/>
        <v>592704000</v>
      </c>
      <c r="F44" s="4">
        <f t="shared" si="2"/>
        <v>497871360000</v>
      </c>
      <c r="G44" s="4">
        <f t="shared" si="3"/>
        <v>588000</v>
      </c>
      <c r="H44" s="4">
        <f t="shared" si="4"/>
        <v>493920000</v>
      </c>
    </row>
    <row r="45" spans="1:8" x14ac:dyDescent="0.2">
      <c r="A45" s="7" t="s">
        <v>16</v>
      </c>
      <c r="B45" s="7">
        <f t="shared" ref="B45:H45" si="5">SUM(B5:B44)</f>
        <v>29191</v>
      </c>
      <c r="C45" s="7">
        <f t="shared" si="5"/>
        <v>24000</v>
      </c>
      <c r="D45" s="7">
        <f t="shared" si="5"/>
        <v>21626301</v>
      </c>
      <c r="E45" s="7">
        <f t="shared" si="5"/>
        <v>16237413961</v>
      </c>
      <c r="F45" s="7">
        <f t="shared" si="5"/>
        <v>12334734105585</v>
      </c>
      <c r="G45" s="7">
        <f t="shared" si="5"/>
        <v>17788700</v>
      </c>
      <c r="H45" s="7">
        <f t="shared" si="5"/>
        <v>13368116100</v>
      </c>
    </row>
    <row r="48" spans="1:8" x14ac:dyDescent="0.2">
      <c r="A48" s="6" t="s">
        <v>17</v>
      </c>
    </row>
    <row r="49" spans="1:6" x14ac:dyDescent="0.2">
      <c r="A49" s="6" t="s">
        <v>18</v>
      </c>
      <c r="B49">
        <f>((B2*G45)-(B45*C45)) / ((B2*D45)-(B45^2))</f>
        <v>0.84745507247541829</v>
      </c>
    </row>
    <row r="50" spans="1:6" x14ac:dyDescent="0.2">
      <c r="A50" s="6" t="s">
        <v>19</v>
      </c>
      <c r="B50">
        <f>(C45-B49*B45)/B2</f>
        <v>-18.451525515748379</v>
      </c>
    </row>
    <row r="53" spans="1:6" x14ac:dyDescent="0.2">
      <c r="A53" s="6" t="s">
        <v>20</v>
      </c>
    </row>
    <row r="54" spans="1:6" x14ac:dyDescent="0.2">
      <c r="A54" s="6" t="s">
        <v>21</v>
      </c>
    </row>
    <row r="55" spans="1:6" x14ac:dyDescent="0.2">
      <c r="B55" s="8" t="s">
        <v>7</v>
      </c>
      <c r="C55" s="8" t="s">
        <v>22</v>
      </c>
      <c r="D55" s="8" t="s">
        <v>23</v>
      </c>
      <c r="F55" s="6" t="s">
        <v>24</v>
      </c>
    </row>
    <row r="56" spans="1:6" x14ac:dyDescent="0.2">
      <c r="A56" t="s">
        <v>25</v>
      </c>
      <c r="B56">
        <f>B2</f>
        <v>40</v>
      </c>
      <c r="C56">
        <f>B45</f>
        <v>29191</v>
      </c>
      <c r="D56">
        <f>D45</f>
        <v>21626301</v>
      </c>
      <c r="F56">
        <f>C45</f>
        <v>24000</v>
      </c>
    </row>
    <row r="57" spans="1:6" x14ac:dyDescent="0.2">
      <c r="A57" t="s">
        <v>26</v>
      </c>
      <c r="B57">
        <f>B45</f>
        <v>29191</v>
      </c>
      <c r="C57">
        <f>D45</f>
        <v>21626301</v>
      </c>
      <c r="D57">
        <f>E45</f>
        <v>16237413961</v>
      </c>
      <c r="F57">
        <f>G45</f>
        <v>17788700</v>
      </c>
    </row>
    <row r="58" spans="1:6" x14ac:dyDescent="0.2">
      <c r="A58" t="s">
        <v>27</v>
      </c>
      <c r="B58">
        <f>D45</f>
        <v>21626301</v>
      </c>
      <c r="C58">
        <f>E45</f>
        <v>16237413961</v>
      </c>
      <c r="D58">
        <f>F45</f>
        <v>12334734105585</v>
      </c>
      <c r="F58">
        <f>H45</f>
        <v>13368116100</v>
      </c>
    </row>
    <row r="60" spans="1:6" x14ac:dyDescent="0.2">
      <c r="A60" s="6" t="s">
        <v>28</v>
      </c>
    </row>
    <row r="61" spans="1:6" x14ac:dyDescent="0.2">
      <c r="A61" s="6" t="s">
        <v>29</v>
      </c>
      <c r="B61">
        <f>INDEX(MMULT(MINVERSE(B56:D58),F56:F58),1,1)</f>
        <v>1594.617825708352</v>
      </c>
    </row>
    <row r="62" spans="1:6" x14ac:dyDescent="0.2">
      <c r="A62" s="6" t="s">
        <v>30</v>
      </c>
      <c r="B62">
        <f>INDEX(MMULT(MINVERSE(B56:D58),F56:F58),2,1)</f>
        <v>-3.821157545728056</v>
      </c>
    </row>
    <row r="63" spans="1:6" x14ac:dyDescent="0.2">
      <c r="A63" s="6" t="s">
        <v>31</v>
      </c>
      <c r="B63">
        <f>INDEX(MMULT(MINVERSE(B56:D58),F56:F58),3,1)</f>
        <v>3.3181216190918406E-3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41</v>
      </c>
    </row>
    <row r="2" spans="1:8" x14ac:dyDescent="0.2">
      <c r="A2" s="6" t="s">
        <v>7</v>
      </c>
      <c r="B2">
        <v>60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1426</v>
      </c>
      <c r="C5" s="4">
        <v>1000</v>
      </c>
      <c r="D5" s="4">
        <f t="shared" ref="D5:D36" si="0">B5^2</f>
        <v>2033476</v>
      </c>
      <c r="E5" s="4">
        <f t="shared" ref="E5:E36" si="1">B5^3</f>
        <v>2899736776</v>
      </c>
      <c r="F5" s="4">
        <f t="shared" ref="F5:F36" si="2">B5^4</f>
        <v>4135024642576</v>
      </c>
      <c r="G5" s="4">
        <f t="shared" ref="G5:G36" si="3">B5*C5</f>
        <v>1426000</v>
      </c>
      <c r="H5" s="4">
        <f t="shared" ref="H5:H36" si="4">D5*C5</f>
        <v>2033476000</v>
      </c>
    </row>
    <row r="6" spans="1:8" x14ac:dyDescent="0.2">
      <c r="A6" s="4">
        <v>2</v>
      </c>
      <c r="B6" s="4">
        <v>1428</v>
      </c>
      <c r="C6" s="4">
        <v>1000</v>
      </c>
      <c r="D6" s="4">
        <f t="shared" si="0"/>
        <v>2039184</v>
      </c>
      <c r="E6" s="4">
        <f t="shared" si="1"/>
        <v>2911954752</v>
      </c>
      <c r="F6" s="4">
        <f t="shared" si="2"/>
        <v>4158271385856</v>
      </c>
      <c r="G6" s="4">
        <f t="shared" si="3"/>
        <v>1428000</v>
      </c>
      <c r="H6" s="4">
        <f t="shared" si="4"/>
        <v>2039184000</v>
      </c>
    </row>
    <row r="7" spans="1:8" x14ac:dyDescent="0.2">
      <c r="A7" s="4">
        <v>3</v>
      </c>
      <c r="B7" s="4">
        <v>1431</v>
      </c>
      <c r="C7" s="4">
        <v>1000</v>
      </c>
      <c r="D7" s="4">
        <f t="shared" si="0"/>
        <v>2047761</v>
      </c>
      <c r="E7" s="4">
        <f t="shared" si="1"/>
        <v>2930345991</v>
      </c>
      <c r="F7" s="4">
        <f t="shared" si="2"/>
        <v>4193325113121</v>
      </c>
      <c r="G7" s="4">
        <f t="shared" si="3"/>
        <v>1431000</v>
      </c>
      <c r="H7" s="4">
        <f t="shared" si="4"/>
        <v>2047761000</v>
      </c>
    </row>
    <row r="8" spans="1:8" x14ac:dyDescent="0.2">
      <c r="A8" s="4">
        <v>4</v>
      </c>
      <c r="B8" s="4">
        <v>1435</v>
      </c>
      <c r="C8" s="4">
        <v>1000</v>
      </c>
      <c r="D8" s="4">
        <f t="shared" si="0"/>
        <v>2059225</v>
      </c>
      <c r="E8" s="4">
        <f t="shared" si="1"/>
        <v>2954987875</v>
      </c>
      <c r="F8" s="4">
        <f t="shared" si="2"/>
        <v>4240407600625</v>
      </c>
      <c r="G8" s="4">
        <f t="shared" si="3"/>
        <v>1435000</v>
      </c>
      <c r="H8" s="4">
        <f t="shared" si="4"/>
        <v>2059225000</v>
      </c>
    </row>
    <row r="9" spans="1:8" x14ac:dyDescent="0.2">
      <c r="A9" s="4">
        <v>5</v>
      </c>
      <c r="B9" s="4">
        <v>1431</v>
      </c>
      <c r="C9" s="4">
        <v>1000</v>
      </c>
      <c r="D9" s="4">
        <f t="shared" si="0"/>
        <v>2047761</v>
      </c>
      <c r="E9" s="4">
        <f t="shared" si="1"/>
        <v>2930345991</v>
      </c>
      <c r="F9" s="4">
        <f t="shared" si="2"/>
        <v>4193325113121</v>
      </c>
      <c r="G9" s="4">
        <f t="shared" si="3"/>
        <v>1431000</v>
      </c>
      <c r="H9" s="4">
        <f t="shared" si="4"/>
        <v>2047761000</v>
      </c>
    </row>
    <row r="10" spans="1:8" x14ac:dyDescent="0.2">
      <c r="A10" s="4">
        <v>6</v>
      </c>
      <c r="B10" s="4">
        <v>1432</v>
      </c>
      <c r="C10" s="4">
        <v>1000</v>
      </c>
      <c r="D10" s="4">
        <f t="shared" si="0"/>
        <v>2050624</v>
      </c>
      <c r="E10" s="4">
        <f t="shared" si="1"/>
        <v>2936493568</v>
      </c>
      <c r="F10" s="4">
        <f t="shared" si="2"/>
        <v>4205058789376</v>
      </c>
      <c r="G10" s="4">
        <f t="shared" si="3"/>
        <v>1432000</v>
      </c>
      <c r="H10" s="4">
        <f t="shared" si="4"/>
        <v>2050624000</v>
      </c>
    </row>
    <row r="11" spans="1:8" x14ac:dyDescent="0.2">
      <c r="A11" s="4">
        <v>7</v>
      </c>
      <c r="B11" s="4">
        <v>1425</v>
      </c>
      <c r="C11" s="4">
        <v>1000</v>
      </c>
      <c r="D11" s="4">
        <f t="shared" si="0"/>
        <v>2030625</v>
      </c>
      <c r="E11" s="4">
        <f t="shared" si="1"/>
        <v>2893640625</v>
      </c>
      <c r="F11" s="4">
        <f t="shared" si="2"/>
        <v>4123437890625</v>
      </c>
      <c r="G11" s="4">
        <f t="shared" si="3"/>
        <v>1425000</v>
      </c>
      <c r="H11" s="4">
        <f t="shared" si="4"/>
        <v>2030625000</v>
      </c>
    </row>
    <row r="12" spans="1:8" x14ac:dyDescent="0.2">
      <c r="A12" s="4">
        <v>8</v>
      </c>
      <c r="B12" s="4">
        <v>1429</v>
      </c>
      <c r="C12" s="4">
        <v>1000</v>
      </c>
      <c r="D12" s="4">
        <f t="shared" si="0"/>
        <v>2042041</v>
      </c>
      <c r="E12" s="4">
        <f t="shared" si="1"/>
        <v>2918076589</v>
      </c>
      <c r="F12" s="4">
        <f t="shared" si="2"/>
        <v>4169931445681</v>
      </c>
      <c r="G12" s="4">
        <f t="shared" si="3"/>
        <v>1429000</v>
      </c>
      <c r="H12" s="4">
        <f t="shared" si="4"/>
        <v>2042041000</v>
      </c>
    </row>
    <row r="13" spans="1:8" x14ac:dyDescent="0.2">
      <c r="A13" s="4">
        <v>9</v>
      </c>
      <c r="B13" s="4">
        <v>1433</v>
      </c>
      <c r="C13" s="4">
        <v>1000</v>
      </c>
      <c r="D13" s="4">
        <f t="shared" si="0"/>
        <v>2053489</v>
      </c>
      <c r="E13" s="4">
        <f t="shared" si="1"/>
        <v>2942649737</v>
      </c>
      <c r="F13" s="4">
        <f t="shared" si="2"/>
        <v>4216817073121</v>
      </c>
      <c r="G13" s="4">
        <f t="shared" si="3"/>
        <v>1433000</v>
      </c>
      <c r="H13" s="4">
        <f t="shared" si="4"/>
        <v>2053489000</v>
      </c>
    </row>
    <row r="14" spans="1:8" x14ac:dyDescent="0.2">
      <c r="A14" s="4">
        <v>10</v>
      </c>
      <c r="B14" s="4">
        <v>1427</v>
      </c>
      <c r="C14" s="4">
        <v>1000</v>
      </c>
      <c r="D14" s="4">
        <f t="shared" si="0"/>
        <v>2036329</v>
      </c>
      <c r="E14" s="4">
        <f t="shared" si="1"/>
        <v>2905841483</v>
      </c>
      <c r="F14" s="4">
        <f t="shared" si="2"/>
        <v>4146635796241</v>
      </c>
      <c r="G14" s="4">
        <f t="shared" si="3"/>
        <v>1427000</v>
      </c>
      <c r="H14" s="4">
        <f t="shared" si="4"/>
        <v>2036329000</v>
      </c>
    </row>
    <row r="15" spans="1:8" x14ac:dyDescent="0.2">
      <c r="A15" s="4">
        <v>11</v>
      </c>
      <c r="B15" s="4">
        <v>1420</v>
      </c>
      <c r="C15" s="4">
        <v>1000</v>
      </c>
      <c r="D15" s="4">
        <f t="shared" si="0"/>
        <v>2016400</v>
      </c>
      <c r="E15" s="4">
        <f t="shared" si="1"/>
        <v>2863288000</v>
      </c>
      <c r="F15" s="4">
        <f t="shared" si="2"/>
        <v>4065868960000</v>
      </c>
      <c r="G15" s="4">
        <f t="shared" si="3"/>
        <v>1420000</v>
      </c>
      <c r="H15" s="4">
        <f t="shared" si="4"/>
        <v>2016400000</v>
      </c>
    </row>
    <row r="16" spans="1:8" x14ac:dyDescent="0.2">
      <c r="A16" s="4">
        <v>12</v>
      </c>
      <c r="B16" s="4">
        <v>1425</v>
      </c>
      <c r="C16" s="4">
        <v>1000</v>
      </c>
      <c r="D16" s="4">
        <f t="shared" si="0"/>
        <v>2030625</v>
      </c>
      <c r="E16" s="4">
        <f t="shared" si="1"/>
        <v>2893640625</v>
      </c>
      <c r="F16" s="4">
        <f t="shared" si="2"/>
        <v>4123437890625</v>
      </c>
      <c r="G16" s="4">
        <f t="shared" si="3"/>
        <v>1425000</v>
      </c>
      <c r="H16" s="4">
        <f t="shared" si="4"/>
        <v>2030625000</v>
      </c>
    </row>
    <row r="17" spans="1:8" x14ac:dyDescent="0.2">
      <c r="A17" s="4">
        <v>13</v>
      </c>
      <c r="B17" s="4">
        <v>1423</v>
      </c>
      <c r="C17" s="4">
        <v>1000</v>
      </c>
      <c r="D17" s="4">
        <f t="shared" si="0"/>
        <v>2024929</v>
      </c>
      <c r="E17" s="4">
        <f t="shared" si="1"/>
        <v>2881473967</v>
      </c>
      <c r="F17" s="4">
        <f t="shared" si="2"/>
        <v>4100337455041</v>
      </c>
      <c r="G17" s="4">
        <f t="shared" si="3"/>
        <v>1423000</v>
      </c>
      <c r="H17" s="4">
        <f t="shared" si="4"/>
        <v>2024929000</v>
      </c>
    </row>
    <row r="18" spans="1:8" x14ac:dyDescent="0.2">
      <c r="A18" s="4">
        <v>14</v>
      </c>
      <c r="B18" s="4">
        <v>1420</v>
      </c>
      <c r="C18" s="4">
        <v>1000</v>
      </c>
      <c r="D18" s="4">
        <f t="shared" si="0"/>
        <v>2016400</v>
      </c>
      <c r="E18" s="4">
        <f t="shared" si="1"/>
        <v>2863288000</v>
      </c>
      <c r="F18" s="4">
        <f t="shared" si="2"/>
        <v>4065868960000</v>
      </c>
      <c r="G18" s="4">
        <f t="shared" si="3"/>
        <v>1420000</v>
      </c>
      <c r="H18" s="4">
        <f t="shared" si="4"/>
        <v>2016400000</v>
      </c>
    </row>
    <row r="19" spans="1:8" x14ac:dyDescent="0.2">
      <c r="A19" s="4">
        <v>15</v>
      </c>
      <c r="B19" s="4">
        <v>1435</v>
      </c>
      <c r="C19" s="4">
        <v>1000</v>
      </c>
      <c r="D19" s="4">
        <f t="shared" si="0"/>
        <v>2059225</v>
      </c>
      <c r="E19" s="4">
        <f t="shared" si="1"/>
        <v>2954987875</v>
      </c>
      <c r="F19" s="4">
        <f t="shared" si="2"/>
        <v>4240407600625</v>
      </c>
      <c r="G19" s="4">
        <f t="shared" si="3"/>
        <v>1435000</v>
      </c>
      <c r="H19" s="4">
        <f t="shared" si="4"/>
        <v>2059225000</v>
      </c>
    </row>
    <row r="20" spans="1:8" x14ac:dyDescent="0.2">
      <c r="A20" s="4">
        <v>16</v>
      </c>
      <c r="B20" s="4">
        <v>1440</v>
      </c>
      <c r="C20" s="4">
        <v>1000</v>
      </c>
      <c r="D20" s="4">
        <f t="shared" si="0"/>
        <v>2073600</v>
      </c>
      <c r="E20" s="4">
        <f t="shared" si="1"/>
        <v>2985984000</v>
      </c>
      <c r="F20" s="4">
        <f t="shared" si="2"/>
        <v>4299816960000</v>
      </c>
      <c r="G20" s="4">
        <f t="shared" si="3"/>
        <v>1440000</v>
      </c>
      <c r="H20" s="4">
        <f t="shared" si="4"/>
        <v>2073600000</v>
      </c>
    </row>
    <row r="21" spans="1:8" x14ac:dyDescent="0.2">
      <c r="A21" s="4">
        <v>17</v>
      </c>
      <c r="B21" s="4">
        <v>1445</v>
      </c>
      <c r="C21" s="4">
        <v>1000</v>
      </c>
      <c r="D21" s="4">
        <f t="shared" si="0"/>
        <v>2088025</v>
      </c>
      <c r="E21" s="4">
        <f t="shared" si="1"/>
        <v>3017196125</v>
      </c>
      <c r="F21" s="4">
        <f t="shared" si="2"/>
        <v>4359848400625</v>
      </c>
      <c r="G21" s="4">
        <f t="shared" si="3"/>
        <v>1445000</v>
      </c>
      <c r="H21" s="4">
        <f t="shared" si="4"/>
        <v>2088025000</v>
      </c>
    </row>
    <row r="22" spans="1:8" x14ac:dyDescent="0.2">
      <c r="A22" s="4">
        <v>18</v>
      </c>
      <c r="B22" s="4">
        <v>1444</v>
      </c>
      <c r="C22" s="4">
        <v>1000</v>
      </c>
      <c r="D22" s="4">
        <f t="shared" si="0"/>
        <v>2085136</v>
      </c>
      <c r="E22" s="4">
        <f t="shared" si="1"/>
        <v>3010936384</v>
      </c>
      <c r="F22" s="4">
        <f t="shared" si="2"/>
        <v>4347792138496</v>
      </c>
      <c r="G22" s="4">
        <f t="shared" si="3"/>
        <v>1444000</v>
      </c>
      <c r="H22" s="4">
        <f t="shared" si="4"/>
        <v>2085136000</v>
      </c>
    </row>
    <row r="23" spans="1:8" x14ac:dyDescent="0.2">
      <c r="A23" s="4">
        <v>19</v>
      </c>
      <c r="B23" s="4">
        <v>1448</v>
      </c>
      <c r="C23" s="4">
        <v>1000</v>
      </c>
      <c r="D23" s="4">
        <f t="shared" si="0"/>
        <v>2096704</v>
      </c>
      <c r="E23" s="4">
        <f t="shared" si="1"/>
        <v>3036027392</v>
      </c>
      <c r="F23" s="4">
        <f t="shared" si="2"/>
        <v>4396167663616</v>
      </c>
      <c r="G23" s="4">
        <f t="shared" si="3"/>
        <v>1448000</v>
      </c>
      <c r="H23" s="4">
        <f t="shared" si="4"/>
        <v>2096704000</v>
      </c>
    </row>
    <row r="24" spans="1:8" x14ac:dyDescent="0.2">
      <c r="A24" s="4">
        <v>20</v>
      </c>
      <c r="B24" s="4">
        <v>1449</v>
      </c>
      <c r="C24" s="4">
        <v>1000</v>
      </c>
      <c r="D24" s="4">
        <f t="shared" si="0"/>
        <v>2099601</v>
      </c>
      <c r="E24" s="4">
        <f t="shared" si="1"/>
        <v>3042321849</v>
      </c>
      <c r="F24" s="4">
        <f t="shared" si="2"/>
        <v>4408324359201</v>
      </c>
      <c r="G24" s="4">
        <f t="shared" si="3"/>
        <v>1449000</v>
      </c>
      <c r="H24" s="4">
        <f t="shared" si="4"/>
        <v>2099601000</v>
      </c>
    </row>
    <row r="25" spans="1:8" x14ac:dyDescent="0.2">
      <c r="A25" s="4">
        <v>21</v>
      </c>
      <c r="B25" s="4">
        <v>2117</v>
      </c>
      <c r="C25" s="4">
        <v>2000</v>
      </c>
      <c r="D25" s="4">
        <f t="shared" si="0"/>
        <v>4481689</v>
      </c>
      <c r="E25" s="4">
        <f t="shared" si="1"/>
        <v>9487735613</v>
      </c>
      <c r="F25" s="4">
        <f t="shared" si="2"/>
        <v>20085536292721</v>
      </c>
      <c r="G25" s="4">
        <f t="shared" si="3"/>
        <v>4234000</v>
      </c>
      <c r="H25" s="4">
        <f t="shared" si="4"/>
        <v>8963378000</v>
      </c>
    </row>
    <row r="26" spans="1:8" x14ac:dyDescent="0.2">
      <c r="A26" s="4">
        <v>22</v>
      </c>
      <c r="B26" s="4">
        <v>2108</v>
      </c>
      <c r="C26" s="4">
        <v>2000</v>
      </c>
      <c r="D26" s="4">
        <f t="shared" si="0"/>
        <v>4443664</v>
      </c>
      <c r="E26" s="4">
        <f t="shared" si="1"/>
        <v>9367243712</v>
      </c>
      <c r="F26" s="4">
        <f t="shared" si="2"/>
        <v>19746149744896</v>
      </c>
      <c r="G26" s="4">
        <f t="shared" si="3"/>
        <v>4216000</v>
      </c>
      <c r="H26" s="4">
        <f t="shared" si="4"/>
        <v>8887328000</v>
      </c>
    </row>
    <row r="27" spans="1:8" x14ac:dyDescent="0.2">
      <c r="A27" s="4">
        <v>23</v>
      </c>
      <c r="B27" s="4">
        <v>2083</v>
      </c>
      <c r="C27" s="4">
        <v>2000</v>
      </c>
      <c r="D27" s="4">
        <f t="shared" si="0"/>
        <v>4338889</v>
      </c>
      <c r="E27" s="4">
        <f t="shared" si="1"/>
        <v>9037905787</v>
      </c>
      <c r="F27" s="4">
        <f t="shared" si="2"/>
        <v>18825957754321</v>
      </c>
      <c r="G27" s="4">
        <f t="shared" si="3"/>
        <v>4166000</v>
      </c>
      <c r="H27" s="4">
        <f t="shared" si="4"/>
        <v>8677778000</v>
      </c>
    </row>
    <row r="28" spans="1:8" x14ac:dyDescent="0.2">
      <c r="A28" s="4">
        <v>24</v>
      </c>
      <c r="B28" s="4">
        <v>2083</v>
      </c>
      <c r="C28" s="4">
        <v>2000</v>
      </c>
      <c r="D28" s="4">
        <f t="shared" si="0"/>
        <v>4338889</v>
      </c>
      <c r="E28" s="4">
        <f t="shared" si="1"/>
        <v>9037905787</v>
      </c>
      <c r="F28" s="4">
        <f t="shared" si="2"/>
        <v>18825957754321</v>
      </c>
      <c r="G28" s="4">
        <f t="shared" si="3"/>
        <v>4166000</v>
      </c>
      <c r="H28" s="4">
        <f t="shared" si="4"/>
        <v>8677778000</v>
      </c>
    </row>
    <row r="29" spans="1:8" x14ac:dyDescent="0.2">
      <c r="A29" s="4">
        <v>25</v>
      </c>
      <c r="B29" s="4">
        <v>2083</v>
      </c>
      <c r="C29" s="4">
        <v>2000</v>
      </c>
      <c r="D29" s="4">
        <f t="shared" si="0"/>
        <v>4338889</v>
      </c>
      <c r="E29" s="4">
        <f t="shared" si="1"/>
        <v>9037905787</v>
      </c>
      <c r="F29" s="4">
        <f t="shared" si="2"/>
        <v>18825957754321</v>
      </c>
      <c r="G29" s="4">
        <f t="shared" si="3"/>
        <v>4166000</v>
      </c>
      <c r="H29" s="4">
        <f t="shared" si="4"/>
        <v>8677778000</v>
      </c>
    </row>
    <row r="30" spans="1:8" x14ac:dyDescent="0.2">
      <c r="A30" s="4">
        <v>26</v>
      </c>
      <c r="B30" s="4">
        <v>2083</v>
      </c>
      <c r="C30" s="4">
        <v>2000</v>
      </c>
      <c r="D30" s="4">
        <f t="shared" si="0"/>
        <v>4338889</v>
      </c>
      <c r="E30" s="4">
        <f t="shared" si="1"/>
        <v>9037905787</v>
      </c>
      <c r="F30" s="4">
        <f t="shared" si="2"/>
        <v>18825957754321</v>
      </c>
      <c r="G30" s="4">
        <f t="shared" si="3"/>
        <v>4166000</v>
      </c>
      <c r="H30" s="4">
        <f t="shared" si="4"/>
        <v>8677778000</v>
      </c>
    </row>
    <row r="31" spans="1:8" x14ac:dyDescent="0.2">
      <c r="A31" s="4">
        <v>27</v>
      </c>
      <c r="B31" s="4">
        <v>2083</v>
      </c>
      <c r="C31" s="4">
        <v>2000</v>
      </c>
      <c r="D31" s="4">
        <f t="shared" si="0"/>
        <v>4338889</v>
      </c>
      <c r="E31" s="4">
        <f t="shared" si="1"/>
        <v>9037905787</v>
      </c>
      <c r="F31" s="4">
        <f t="shared" si="2"/>
        <v>18825957754321</v>
      </c>
      <c r="G31" s="4">
        <f t="shared" si="3"/>
        <v>4166000</v>
      </c>
      <c r="H31" s="4">
        <f t="shared" si="4"/>
        <v>8677778000</v>
      </c>
    </row>
    <row r="32" spans="1:8" x14ac:dyDescent="0.2">
      <c r="A32" s="4">
        <v>28</v>
      </c>
      <c r="B32" s="4">
        <v>2083</v>
      </c>
      <c r="C32" s="4">
        <v>2000</v>
      </c>
      <c r="D32" s="4">
        <f t="shared" si="0"/>
        <v>4338889</v>
      </c>
      <c r="E32" s="4">
        <f t="shared" si="1"/>
        <v>9037905787</v>
      </c>
      <c r="F32" s="4">
        <f t="shared" si="2"/>
        <v>18825957754321</v>
      </c>
      <c r="G32" s="4">
        <f t="shared" si="3"/>
        <v>4166000</v>
      </c>
      <c r="H32" s="4">
        <f t="shared" si="4"/>
        <v>8677778000</v>
      </c>
    </row>
    <row r="33" spans="1:8" x14ac:dyDescent="0.2">
      <c r="A33" s="4">
        <v>29</v>
      </c>
      <c r="B33" s="4">
        <v>2083</v>
      </c>
      <c r="C33" s="4">
        <v>2000</v>
      </c>
      <c r="D33" s="4">
        <f t="shared" si="0"/>
        <v>4338889</v>
      </c>
      <c r="E33" s="4">
        <f t="shared" si="1"/>
        <v>9037905787</v>
      </c>
      <c r="F33" s="4">
        <f t="shared" si="2"/>
        <v>18825957754321</v>
      </c>
      <c r="G33" s="4">
        <f t="shared" si="3"/>
        <v>4166000</v>
      </c>
      <c r="H33" s="4">
        <f t="shared" si="4"/>
        <v>8677778000</v>
      </c>
    </row>
    <row r="34" spans="1:8" x14ac:dyDescent="0.2">
      <c r="A34" s="4">
        <v>30</v>
      </c>
      <c r="B34" s="4">
        <v>2083</v>
      </c>
      <c r="C34" s="4">
        <v>2000</v>
      </c>
      <c r="D34" s="4">
        <f t="shared" si="0"/>
        <v>4338889</v>
      </c>
      <c r="E34" s="4">
        <f t="shared" si="1"/>
        <v>9037905787</v>
      </c>
      <c r="F34" s="4">
        <f t="shared" si="2"/>
        <v>18825957754321</v>
      </c>
      <c r="G34" s="4">
        <f t="shared" si="3"/>
        <v>4166000</v>
      </c>
      <c r="H34" s="4">
        <f t="shared" si="4"/>
        <v>8677778000</v>
      </c>
    </row>
    <row r="35" spans="1:8" x14ac:dyDescent="0.2">
      <c r="A35" s="4">
        <v>31</v>
      </c>
      <c r="B35" s="4">
        <v>2083</v>
      </c>
      <c r="C35" s="4">
        <v>2000</v>
      </c>
      <c r="D35" s="4">
        <f t="shared" si="0"/>
        <v>4338889</v>
      </c>
      <c r="E35" s="4">
        <f t="shared" si="1"/>
        <v>9037905787</v>
      </c>
      <c r="F35" s="4">
        <f t="shared" si="2"/>
        <v>18825957754321</v>
      </c>
      <c r="G35" s="4">
        <f t="shared" si="3"/>
        <v>4166000</v>
      </c>
      <c r="H35" s="4">
        <f t="shared" si="4"/>
        <v>8677778000</v>
      </c>
    </row>
    <row r="36" spans="1:8" x14ac:dyDescent="0.2">
      <c r="A36" s="4">
        <v>32</v>
      </c>
      <c r="B36" s="4">
        <v>2083</v>
      </c>
      <c r="C36" s="4">
        <v>2000</v>
      </c>
      <c r="D36" s="4">
        <f t="shared" si="0"/>
        <v>4338889</v>
      </c>
      <c r="E36" s="4">
        <f t="shared" si="1"/>
        <v>9037905787</v>
      </c>
      <c r="F36" s="4">
        <f t="shared" si="2"/>
        <v>18825957754321</v>
      </c>
      <c r="G36" s="4">
        <f t="shared" si="3"/>
        <v>4166000</v>
      </c>
      <c r="H36" s="4">
        <f t="shared" si="4"/>
        <v>8677778000</v>
      </c>
    </row>
    <row r="37" spans="1:8" x14ac:dyDescent="0.2">
      <c r="A37" s="4">
        <v>33</v>
      </c>
      <c r="B37" s="4">
        <v>2083</v>
      </c>
      <c r="C37" s="4">
        <v>2000</v>
      </c>
      <c r="D37" s="4">
        <f t="shared" ref="D37:D64" si="5">B37^2</f>
        <v>4338889</v>
      </c>
      <c r="E37" s="4">
        <f t="shared" ref="E37:E64" si="6">B37^3</f>
        <v>9037905787</v>
      </c>
      <c r="F37" s="4">
        <f t="shared" ref="F37:F64" si="7">B37^4</f>
        <v>18825957754321</v>
      </c>
      <c r="G37" s="4">
        <f t="shared" ref="G37:G64" si="8">B37*C37</f>
        <v>4166000</v>
      </c>
      <c r="H37" s="4">
        <f t="shared" ref="H37:H64" si="9">D37*C37</f>
        <v>8677778000</v>
      </c>
    </row>
    <row r="38" spans="1:8" x14ac:dyDescent="0.2">
      <c r="A38" s="4">
        <v>34</v>
      </c>
      <c r="B38" s="4">
        <v>2083</v>
      </c>
      <c r="C38" s="4">
        <v>2000</v>
      </c>
      <c r="D38" s="4">
        <f t="shared" si="5"/>
        <v>4338889</v>
      </c>
      <c r="E38" s="4">
        <f t="shared" si="6"/>
        <v>9037905787</v>
      </c>
      <c r="F38" s="4">
        <f t="shared" si="7"/>
        <v>18825957754321</v>
      </c>
      <c r="G38" s="4">
        <f t="shared" si="8"/>
        <v>4166000</v>
      </c>
      <c r="H38" s="4">
        <f t="shared" si="9"/>
        <v>8677778000</v>
      </c>
    </row>
    <row r="39" spans="1:8" x14ac:dyDescent="0.2">
      <c r="A39" s="4">
        <v>35</v>
      </c>
      <c r="B39" s="4">
        <v>2083</v>
      </c>
      <c r="C39" s="4">
        <v>2000</v>
      </c>
      <c r="D39" s="4">
        <f t="shared" si="5"/>
        <v>4338889</v>
      </c>
      <c r="E39" s="4">
        <f t="shared" si="6"/>
        <v>9037905787</v>
      </c>
      <c r="F39" s="4">
        <f t="shared" si="7"/>
        <v>18825957754321</v>
      </c>
      <c r="G39" s="4">
        <f t="shared" si="8"/>
        <v>4166000</v>
      </c>
      <c r="H39" s="4">
        <f t="shared" si="9"/>
        <v>8677778000</v>
      </c>
    </row>
    <row r="40" spans="1:8" x14ac:dyDescent="0.2">
      <c r="A40" s="4">
        <v>36</v>
      </c>
      <c r="B40" s="4">
        <v>2083</v>
      </c>
      <c r="C40" s="4">
        <v>2000</v>
      </c>
      <c r="D40" s="4">
        <f t="shared" si="5"/>
        <v>4338889</v>
      </c>
      <c r="E40" s="4">
        <f t="shared" si="6"/>
        <v>9037905787</v>
      </c>
      <c r="F40" s="4">
        <f t="shared" si="7"/>
        <v>18825957754321</v>
      </c>
      <c r="G40" s="4">
        <f t="shared" si="8"/>
        <v>4166000</v>
      </c>
      <c r="H40" s="4">
        <f t="shared" si="9"/>
        <v>8677778000</v>
      </c>
    </row>
    <row r="41" spans="1:8" x14ac:dyDescent="0.2">
      <c r="A41" s="4">
        <v>37</v>
      </c>
      <c r="B41" s="4">
        <v>2083</v>
      </c>
      <c r="C41" s="4">
        <v>2000</v>
      </c>
      <c r="D41" s="4">
        <f t="shared" si="5"/>
        <v>4338889</v>
      </c>
      <c r="E41" s="4">
        <f t="shared" si="6"/>
        <v>9037905787</v>
      </c>
      <c r="F41" s="4">
        <f t="shared" si="7"/>
        <v>18825957754321</v>
      </c>
      <c r="G41" s="4">
        <f t="shared" si="8"/>
        <v>4166000</v>
      </c>
      <c r="H41" s="4">
        <f t="shared" si="9"/>
        <v>8677778000</v>
      </c>
    </row>
    <row r="42" spans="1:8" x14ac:dyDescent="0.2">
      <c r="A42" s="4">
        <v>38</v>
      </c>
      <c r="B42" s="4">
        <v>2083</v>
      </c>
      <c r="C42" s="4">
        <v>2000</v>
      </c>
      <c r="D42" s="4">
        <f t="shared" si="5"/>
        <v>4338889</v>
      </c>
      <c r="E42" s="4">
        <f t="shared" si="6"/>
        <v>9037905787</v>
      </c>
      <c r="F42" s="4">
        <f t="shared" si="7"/>
        <v>18825957754321</v>
      </c>
      <c r="G42" s="4">
        <f t="shared" si="8"/>
        <v>4166000</v>
      </c>
      <c r="H42" s="4">
        <f t="shared" si="9"/>
        <v>8677778000</v>
      </c>
    </row>
    <row r="43" spans="1:8" x14ac:dyDescent="0.2">
      <c r="A43" s="4">
        <v>39</v>
      </c>
      <c r="B43" s="4">
        <v>2083</v>
      </c>
      <c r="C43" s="4">
        <v>2000</v>
      </c>
      <c r="D43" s="4">
        <f t="shared" si="5"/>
        <v>4338889</v>
      </c>
      <c r="E43" s="4">
        <f t="shared" si="6"/>
        <v>9037905787</v>
      </c>
      <c r="F43" s="4">
        <f t="shared" si="7"/>
        <v>18825957754321</v>
      </c>
      <c r="G43" s="4">
        <f t="shared" si="8"/>
        <v>4166000</v>
      </c>
      <c r="H43" s="4">
        <f t="shared" si="9"/>
        <v>8677778000</v>
      </c>
    </row>
    <row r="44" spans="1:8" x14ac:dyDescent="0.2">
      <c r="A44" s="4">
        <v>40</v>
      </c>
      <c r="B44" s="4">
        <v>2083</v>
      </c>
      <c r="C44" s="4">
        <v>2000</v>
      </c>
      <c r="D44" s="4">
        <f t="shared" si="5"/>
        <v>4338889</v>
      </c>
      <c r="E44" s="4">
        <f t="shared" si="6"/>
        <v>9037905787</v>
      </c>
      <c r="F44" s="4">
        <f t="shared" si="7"/>
        <v>18825957754321</v>
      </c>
      <c r="G44" s="4">
        <f t="shared" si="8"/>
        <v>4166000</v>
      </c>
      <c r="H44" s="4">
        <f t="shared" si="9"/>
        <v>8677778000</v>
      </c>
    </row>
    <row r="45" spans="1:8" x14ac:dyDescent="0.2">
      <c r="A45" s="4">
        <v>41</v>
      </c>
      <c r="B45" s="4">
        <v>2791</v>
      </c>
      <c r="C45" s="4">
        <v>3000</v>
      </c>
      <c r="D45" s="4">
        <f t="shared" si="5"/>
        <v>7789681</v>
      </c>
      <c r="E45" s="4">
        <f t="shared" si="6"/>
        <v>21740999671</v>
      </c>
      <c r="F45" s="4">
        <f t="shared" si="7"/>
        <v>60679130081761</v>
      </c>
      <c r="G45" s="4">
        <f t="shared" si="8"/>
        <v>8373000</v>
      </c>
      <c r="H45" s="4">
        <f t="shared" si="9"/>
        <v>23369043000</v>
      </c>
    </row>
    <row r="46" spans="1:8" x14ac:dyDescent="0.2">
      <c r="A46" s="4">
        <v>42</v>
      </c>
      <c r="B46" s="4">
        <v>2816</v>
      </c>
      <c r="C46" s="4">
        <v>3000</v>
      </c>
      <c r="D46" s="4">
        <f t="shared" si="5"/>
        <v>7929856</v>
      </c>
      <c r="E46" s="4">
        <f t="shared" si="6"/>
        <v>22330474496</v>
      </c>
      <c r="F46" s="4">
        <f t="shared" si="7"/>
        <v>62882616180736</v>
      </c>
      <c r="G46" s="4">
        <f t="shared" si="8"/>
        <v>8448000</v>
      </c>
      <c r="H46" s="4">
        <f t="shared" si="9"/>
        <v>23789568000</v>
      </c>
    </row>
    <row r="47" spans="1:8" x14ac:dyDescent="0.2">
      <c r="A47" s="4">
        <v>43</v>
      </c>
      <c r="B47" s="4">
        <v>2816</v>
      </c>
      <c r="C47" s="4">
        <v>3000</v>
      </c>
      <c r="D47" s="4">
        <f t="shared" si="5"/>
        <v>7929856</v>
      </c>
      <c r="E47" s="4">
        <f t="shared" si="6"/>
        <v>22330474496</v>
      </c>
      <c r="F47" s="4">
        <f t="shared" si="7"/>
        <v>62882616180736</v>
      </c>
      <c r="G47" s="4">
        <f t="shared" si="8"/>
        <v>8448000</v>
      </c>
      <c r="H47" s="4">
        <f t="shared" si="9"/>
        <v>23789568000</v>
      </c>
    </row>
    <row r="48" spans="1:8" x14ac:dyDescent="0.2">
      <c r="A48" s="4">
        <v>44</v>
      </c>
      <c r="B48" s="4">
        <v>2816</v>
      </c>
      <c r="C48" s="4">
        <v>3000</v>
      </c>
      <c r="D48" s="4">
        <f t="shared" si="5"/>
        <v>7929856</v>
      </c>
      <c r="E48" s="4">
        <f t="shared" si="6"/>
        <v>22330474496</v>
      </c>
      <c r="F48" s="4">
        <f t="shared" si="7"/>
        <v>62882616180736</v>
      </c>
      <c r="G48" s="4">
        <f t="shared" si="8"/>
        <v>8448000</v>
      </c>
      <c r="H48" s="4">
        <f t="shared" si="9"/>
        <v>23789568000</v>
      </c>
    </row>
    <row r="49" spans="1:8" x14ac:dyDescent="0.2">
      <c r="A49" s="4">
        <v>45</v>
      </c>
      <c r="B49" s="4">
        <v>2816</v>
      </c>
      <c r="C49" s="4">
        <v>3000</v>
      </c>
      <c r="D49" s="4">
        <f t="shared" si="5"/>
        <v>7929856</v>
      </c>
      <c r="E49" s="4">
        <f t="shared" si="6"/>
        <v>22330474496</v>
      </c>
      <c r="F49" s="4">
        <f t="shared" si="7"/>
        <v>62882616180736</v>
      </c>
      <c r="G49" s="4">
        <f t="shared" si="8"/>
        <v>8448000</v>
      </c>
      <c r="H49" s="4">
        <f t="shared" si="9"/>
        <v>23789568000</v>
      </c>
    </row>
    <row r="50" spans="1:8" x14ac:dyDescent="0.2">
      <c r="A50" s="4">
        <v>46</v>
      </c>
      <c r="B50" s="4">
        <v>2816</v>
      </c>
      <c r="C50" s="4">
        <v>3000</v>
      </c>
      <c r="D50" s="4">
        <f t="shared" si="5"/>
        <v>7929856</v>
      </c>
      <c r="E50" s="4">
        <f t="shared" si="6"/>
        <v>22330474496</v>
      </c>
      <c r="F50" s="4">
        <f t="shared" si="7"/>
        <v>62882616180736</v>
      </c>
      <c r="G50" s="4">
        <f t="shared" si="8"/>
        <v>8448000</v>
      </c>
      <c r="H50" s="4">
        <f t="shared" si="9"/>
        <v>23789568000</v>
      </c>
    </row>
    <row r="51" spans="1:8" x14ac:dyDescent="0.2">
      <c r="A51" s="4">
        <v>47</v>
      </c>
      <c r="B51" s="4">
        <v>2816</v>
      </c>
      <c r="C51" s="4">
        <v>3000</v>
      </c>
      <c r="D51" s="4">
        <f t="shared" si="5"/>
        <v>7929856</v>
      </c>
      <c r="E51" s="4">
        <f t="shared" si="6"/>
        <v>22330474496</v>
      </c>
      <c r="F51" s="4">
        <f t="shared" si="7"/>
        <v>62882616180736</v>
      </c>
      <c r="G51" s="4">
        <f t="shared" si="8"/>
        <v>8448000</v>
      </c>
      <c r="H51" s="4">
        <f t="shared" si="9"/>
        <v>23789568000</v>
      </c>
    </row>
    <row r="52" spans="1:8" x14ac:dyDescent="0.2">
      <c r="A52" s="4">
        <v>48</v>
      </c>
      <c r="B52" s="4">
        <v>2816</v>
      </c>
      <c r="C52" s="4">
        <v>3000</v>
      </c>
      <c r="D52" s="4">
        <f t="shared" si="5"/>
        <v>7929856</v>
      </c>
      <c r="E52" s="4">
        <f t="shared" si="6"/>
        <v>22330474496</v>
      </c>
      <c r="F52" s="4">
        <f t="shared" si="7"/>
        <v>62882616180736</v>
      </c>
      <c r="G52" s="4">
        <f t="shared" si="8"/>
        <v>8448000</v>
      </c>
      <c r="H52" s="4">
        <f t="shared" si="9"/>
        <v>23789568000</v>
      </c>
    </row>
    <row r="53" spans="1:8" x14ac:dyDescent="0.2">
      <c r="A53" s="4">
        <v>49</v>
      </c>
      <c r="B53" s="4">
        <v>2816</v>
      </c>
      <c r="C53" s="4">
        <v>3000</v>
      </c>
      <c r="D53" s="4">
        <f t="shared" si="5"/>
        <v>7929856</v>
      </c>
      <c r="E53" s="4">
        <f t="shared" si="6"/>
        <v>22330474496</v>
      </c>
      <c r="F53" s="4">
        <f t="shared" si="7"/>
        <v>62882616180736</v>
      </c>
      <c r="G53" s="4">
        <f t="shared" si="8"/>
        <v>8448000</v>
      </c>
      <c r="H53" s="4">
        <f t="shared" si="9"/>
        <v>23789568000</v>
      </c>
    </row>
    <row r="54" spans="1:8" x14ac:dyDescent="0.2">
      <c r="A54" s="4">
        <v>50</v>
      </c>
      <c r="B54" s="4">
        <v>2816</v>
      </c>
      <c r="C54" s="4">
        <v>3000</v>
      </c>
      <c r="D54" s="4">
        <f t="shared" si="5"/>
        <v>7929856</v>
      </c>
      <c r="E54" s="4">
        <f t="shared" si="6"/>
        <v>22330474496</v>
      </c>
      <c r="F54" s="4">
        <f t="shared" si="7"/>
        <v>62882616180736</v>
      </c>
      <c r="G54" s="4">
        <f t="shared" si="8"/>
        <v>8448000</v>
      </c>
      <c r="H54" s="4">
        <f t="shared" si="9"/>
        <v>23789568000</v>
      </c>
    </row>
    <row r="55" spans="1:8" x14ac:dyDescent="0.2">
      <c r="A55" s="4">
        <v>51</v>
      </c>
      <c r="B55" s="4">
        <v>2816</v>
      </c>
      <c r="C55" s="4">
        <v>3000</v>
      </c>
      <c r="D55" s="4">
        <f t="shared" si="5"/>
        <v>7929856</v>
      </c>
      <c r="E55" s="4">
        <f t="shared" si="6"/>
        <v>22330474496</v>
      </c>
      <c r="F55" s="4">
        <f t="shared" si="7"/>
        <v>62882616180736</v>
      </c>
      <c r="G55" s="4">
        <f t="shared" si="8"/>
        <v>8448000</v>
      </c>
      <c r="H55" s="4">
        <f t="shared" si="9"/>
        <v>23789568000</v>
      </c>
    </row>
    <row r="56" spans="1:8" x14ac:dyDescent="0.2">
      <c r="A56" s="4">
        <v>52</v>
      </c>
      <c r="B56" s="4">
        <v>2816</v>
      </c>
      <c r="C56" s="4">
        <v>3000</v>
      </c>
      <c r="D56" s="4">
        <f t="shared" si="5"/>
        <v>7929856</v>
      </c>
      <c r="E56" s="4">
        <f t="shared" si="6"/>
        <v>22330474496</v>
      </c>
      <c r="F56" s="4">
        <f t="shared" si="7"/>
        <v>62882616180736</v>
      </c>
      <c r="G56" s="4">
        <f t="shared" si="8"/>
        <v>8448000</v>
      </c>
      <c r="H56" s="4">
        <f t="shared" si="9"/>
        <v>23789568000</v>
      </c>
    </row>
    <row r="57" spans="1:8" x14ac:dyDescent="0.2">
      <c r="A57" s="4">
        <v>53</v>
      </c>
      <c r="B57" s="4">
        <v>2816</v>
      </c>
      <c r="C57" s="4">
        <v>3000</v>
      </c>
      <c r="D57" s="4">
        <f t="shared" si="5"/>
        <v>7929856</v>
      </c>
      <c r="E57" s="4">
        <f t="shared" si="6"/>
        <v>22330474496</v>
      </c>
      <c r="F57" s="4">
        <f t="shared" si="7"/>
        <v>62882616180736</v>
      </c>
      <c r="G57" s="4">
        <f t="shared" si="8"/>
        <v>8448000</v>
      </c>
      <c r="H57" s="4">
        <f t="shared" si="9"/>
        <v>23789568000</v>
      </c>
    </row>
    <row r="58" spans="1:8" x14ac:dyDescent="0.2">
      <c r="A58" s="4">
        <v>54</v>
      </c>
      <c r="B58" s="4">
        <v>2816</v>
      </c>
      <c r="C58" s="4">
        <v>3000</v>
      </c>
      <c r="D58" s="4">
        <f t="shared" si="5"/>
        <v>7929856</v>
      </c>
      <c r="E58" s="4">
        <f t="shared" si="6"/>
        <v>22330474496</v>
      </c>
      <c r="F58" s="4">
        <f t="shared" si="7"/>
        <v>62882616180736</v>
      </c>
      <c r="G58" s="4">
        <f t="shared" si="8"/>
        <v>8448000</v>
      </c>
      <c r="H58" s="4">
        <f t="shared" si="9"/>
        <v>23789568000</v>
      </c>
    </row>
    <row r="59" spans="1:8" x14ac:dyDescent="0.2">
      <c r="A59" s="4">
        <v>55</v>
      </c>
      <c r="B59" s="4">
        <v>2816</v>
      </c>
      <c r="C59" s="4">
        <v>3000</v>
      </c>
      <c r="D59" s="4">
        <f t="shared" si="5"/>
        <v>7929856</v>
      </c>
      <c r="E59" s="4">
        <f t="shared" si="6"/>
        <v>22330474496</v>
      </c>
      <c r="F59" s="4">
        <f t="shared" si="7"/>
        <v>62882616180736</v>
      </c>
      <c r="G59" s="4">
        <f t="shared" si="8"/>
        <v>8448000</v>
      </c>
      <c r="H59" s="4">
        <f t="shared" si="9"/>
        <v>23789568000</v>
      </c>
    </row>
    <row r="60" spans="1:8" x14ac:dyDescent="0.2">
      <c r="A60" s="4">
        <v>56</v>
      </c>
      <c r="B60" s="4">
        <v>2816</v>
      </c>
      <c r="C60" s="4">
        <v>3000</v>
      </c>
      <c r="D60" s="4">
        <f t="shared" si="5"/>
        <v>7929856</v>
      </c>
      <c r="E60" s="4">
        <f t="shared" si="6"/>
        <v>22330474496</v>
      </c>
      <c r="F60" s="4">
        <f t="shared" si="7"/>
        <v>62882616180736</v>
      </c>
      <c r="G60" s="4">
        <f t="shared" si="8"/>
        <v>8448000</v>
      </c>
      <c r="H60" s="4">
        <f t="shared" si="9"/>
        <v>23789568000</v>
      </c>
    </row>
    <row r="61" spans="1:8" x14ac:dyDescent="0.2">
      <c r="A61" s="4">
        <v>57</v>
      </c>
      <c r="B61" s="4">
        <v>2816</v>
      </c>
      <c r="C61" s="4">
        <v>3000</v>
      </c>
      <c r="D61" s="4">
        <f t="shared" si="5"/>
        <v>7929856</v>
      </c>
      <c r="E61" s="4">
        <f t="shared" si="6"/>
        <v>22330474496</v>
      </c>
      <c r="F61" s="4">
        <f t="shared" si="7"/>
        <v>62882616180736</v>
      </c>
      <c r="G61" s="4">
        <f t="shared" si="8"/>
        <v>8448000</v>
      </c>
      <c r="H61" s="4">
        <f t="shared" si="9"/>
        <v>23789568000</v>
      </c>
    </row>
    <row r="62" spans="1:8" x14ac:dyDescent="0.2">
      <c r="A62" s="4">
        <v>58</v>
      </c>
      <c r="B62" s="4">
        <v>2816</v>
      </c>
      <c r="C62" s="4">
        <v>3000</v>
      </c>
      <c r="D62" s="4">
        <f t="shared" si="5"/>
        <v>7929856</v>
      </c>
      <c r="E62" s="4">
        <f t="shared" si="6"/>
        <v>22330474496</v>
      </c>
      <c r="F62" s="4">
        <f t="shared" si="7"/>
        <v>62882616180736</v>
      </c>
      <c r="G62" s="4">
        <f t="shared" si="8"/>
        <v>8448000</v>
      </c>
      <c r="H62" s="4">
        <f t="shared" si="9"/>
        <v>23789568000</v>
      </c>
    </row>
    <row r="63" spans="1:8" x14ac:dyDescent="0.2">
      <c r="A63" s="4">
        <v>59</v>
      </c>
      <c r="B63" s="4">
        <v>2816</v>
      </c>
      <c r="C63" s="4">
        <v>3000</v>
      </c>
      <c r="D63" s="4">
        <f t="shared" si="5"/>
        <v>7929856</v>
      </c>
      <c r="E63" s="4">
        <f t="shared" si="6"/>
        <v>22330474496</v>
      </c>
      <c r="F63" s="4">
        <f t="shared" si="7"/>
        <v>62882616180736</v>
      </c>
      <c r="G63" s="4">
        <f t="shared" si="8"/>
        <v>8448000</v>
      </c>
      <c r="H63" s="4">
        <f t="shared" si="9"/>
        <v>23789568000</v>
      </c>
    </row>
    <row r="64" spans="1:8" x14ac:dyDescent="0.2">
      <c r="A64" s="4">
        <v>60</v>
      </c>
      <c r="B64" s="4">
        <v>2816</v>
      </c>
      <c r="C64" s="4">
        <v>3000</v>
      </c>
      <c r="D64" s="4">
        <f t="shared" si="5"/>
        <v>7929856</v>
      </c>
      <c r="E64" s="4">
        <f t="shared" si="6"/>
        <v>22330474496</v>
      </c>
      <c r="F64" s="4">
        <f t="shared" si="7"/>
        <v>62882616180736</v>
      </c>
      <c r="G64" s="4">
        <f t="shared" si="8"/>
        <v>8448000</v>
      </c>
      <c r="H64" s="4">
        <f t="shared" si="9"/>
        <v>23789568000</v>
      </c>
    </row>
    <row r="65" spans="1:8" x14ac:dyDescent="0.2">
      <c r="A65" s="7" t="s">
        <v>16</v>
      </c>
      <c r="B65" s="7">
        <f t="shared" ref="B65:H65" si="10">SUM(B5:B64)</f>
        <v>126660</v>
      </c>
      <c r="C65" s="7">
        <f t="shared" si="10"/>
        <v>120000</v>
      </c>
      <c r="D65" s="7">
        <f t="shared" si="10"/>
        <v>286513460</v>
      </c>
      <c r="E65" s="7">
        <f t="shared" si="10"/>
        <v>686330516190</v>
      </c>
      <c r="F65" s="7">
        <f t="shared" si="10"/>
        <v>1718337868369712</v>
      </c>
      <c r="G65" s="7">
        <f t="shared" si="10"/>
        <v>280969000</v>
      </c>
      <c r="H65" s="7">
        <f t="shared" si="10"/>
        <v>690452705000</v>
      </c>
    </row>
    <row r="68" spans="1:8" x14ac:dyDescent="0.2">
      <c r="A68" s="6" t="s">
        <v>17</v>
      </c>
    </row>
    <row r="69" spans="1:8" x14ac:dyDescent="0.2">
      <c r="A69" s="6" t="s">
        <v>18</v>
      </c>
      <c r="B69">
        <f>((B2*G65)-(B65*C65)) / ((B2*D65)-(B65^2))</f>
        <v>1.4450042332577271</v>
      </c>
    </row>
    <row r="70" spans="1:8" x14ac:dyDescent="0.2">
      <c r="A70" s="6" t="s">
        <v>19</v>
      </c>
      <c r="B70">
        <f>(C65-B69*B65)/B2</f>
        <v>-1050.4039364070618</v>
      </c>
    </row>
    <row r="73" spans="1:8" x14ac:dyDescent="0.2">
      <c r="A73" s="6" t="s">
        <v>20</v>
      </c>
    </row>
    <row r="74" spans="1:8" x14ac:dyDescent="0.2">
      <c r="A74" s="6" t="s">
        <v>21</v>
      </c>
    </row>
    <row r="75" spans="1:8" x14ac:dyDescent="0.2">
      <c r="B75" s="8" t="s">
        <v>7</v>
      </c>
      <c r="C75" s="8" t="s">
        <v>22</v>
      </c>
      <c r="D75" s="8" t="s">
        <v>23</v>
      </c>
      <c r="F75" s="6" t="s">
        <v>24</v>
      </c>
    </row>
    <row r="76" spans="1:8" x14ac:dyDescent="0.2">
      <c r="A76" t="s">
        <v>25</v>
      </c>
      <c r="B76">
        <f>B2</f>
        <v>60</v>
      </c>
      <c r="C76">
        <f>B65</f>
        <v>126660</v>
      </c>
      <c r="D76">
        <f>D65</f>
        <v>286513460</v>
      </c>
      <c r="F76">
        <f>C65</f>
        <v>120000</v>
      </c>
    </row>
    <row r="77" spans="1:8" x14ac:dyDescent="0.2">
      <c r="A77" t="s">
        <v>26</v>
      </c>
      <c r="B77">
        <f>B65</f>
        <v>126660</v>
      </c>
      <c r="C77">
        <f>D65</f>
        <v>286513460</v>
      </c>
      <c r="D77">
        <f>E65</f>
        <v>686330516190</v>
      </c>
      <c r="F77">
        <f>G65</f>
        <v>280969000</v>
      </c>
    </row>
    <row r="78" spans="1:8" x14ac:dyDescent="0.2">
      <c r="A78" t="s">
        <v>27</v>
      </c>
      <c r="B78">
        <f>D65</f>
        <v>286513460</v>
      </c>
      <c r="C78">
        <f>E65</f>
        <v>686330516190</v>
      </c>
      <c r="D78">
        <f>F65</f>
        <v>1718337868369712</v>
      </c>
      <c r="F78">
        <f>H65</f>
        <v>690452705000</v>
      </c>
    </row>
    <row r="80" spans="1:8" x14ac:dyDescent="0.2">
      <c r="A80" s="6" t="s">
        <v>28</v>
      </c>
    </row>
    <row r="81" spans="1:2" x14ac:dyDescent="0.2">
      <c r="A81" s="6" t="s">
        <v>29</v>
      </c>
      <c r="B81">
        <f>INDEX(MMULT(MINVERSE(B76:D78),F76:F78),1,1)</f>
        <v>-1528.1629383718828</v>
      </c>
    </row>
    <row r="82" spans="1:2" x14ac:dyDescent="0.2">
      <c r="A82" s="6" t="s">
        <v>30</v>
      </c>
      <c r="B82">
        <f>INDEX(MMULT(MINVERSE(B76:D78),F76:F78),2,1)</f>
        <v>1.9276364729822717</v>
      </c>
    </row>
    <row r="83" spans="1:2" x14ac:dyDescent="0.2">
      <c r="A83" s="6" t="s">
        <v>31</v>
      </c>
      <c r="B83">
        <f>INDEX(MMULT(MINVERSE(B76:D78),F76:F78),3,1)</f>
        <v>-1.1330936901057798E-4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42</v>
      </c>
    </row>
    <row r="2" spans="1:8" x14ac:dyDescent="0.2">
      <c r="A2" s="6" t="s">
        <v>7</v>
      </c>
      <c r="B2">
        <v>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7" t="s">
        <v>16</v>
      </c>
      <c r="B5" s="7" t="str">
        <f t="shared" ref="B5:H5" ca="1" si="0">SUM(B4:B5)</f>
        <v/>
      </c>
      <c r="C5" s="7" t="str">
        <f t="shared" ca="1" si="0"/>
        <v/>
      </c>
      <c r="D5" s="7" t="str">
        <f t="shared" ca="1" si="0"/>
        <v/>
      </c>
      <c r="E5" s="7" t="str">
        <f t="shared" ca="1" si="0"/>
        <v/>
      </c>
      <c r="F5" s="7" t="str">
        <f t="shared" ca="1" si="0"/>
        <v/>
      </c>
      <c r="G5" s="7" t="str">
        <f t="shared" ca="1" si="0"/>
        <v/>
      </c>
      <c r="H5" s="7" t="str">
        <f t="shared" ca="1" si="0"/>
        <v/>
      </c>
    </row>
    <row r="8" spans="1:8" x14ac:dyDescent="0.2">
      <c r="A8" s="6" t="s">
        <v>17</v>
      </c>
    </row>
    <row r="9" spans="1:8" x14ac:dyDescent="0.2">
      <c r="A9" s="6" t="s">
        <v>18</v>
      </c>
      <c r="B9" t="str">
        <f ca="1">((B2*G5)-(B5*C5)) / ((B2*D5)-(B5^2))</f>
        <v/>
      </c>
    </row>
    <row r="10" spans="1:8" x14ac:dyDescent="0.2">
      <c r="A10" s="6" t="s">
        <v>19</v>
      </c>
      <c r="B10" t="str">
        <f ca="1">(C5-B9*B5)/B2</f>
        <v/>
      </c>
    </row>
    <row r="13" spans="1:8" x14ac:dyDescent="0.2">
      <c r="A13" s="6" t="s">
        <v>20</v>
      </c>
    </row>
    <row r="14" spans="1:8" x14ac:dyDescent="0.2">
      <c r="A14" s="6" t="s">
        <v>21</v>
      </c>
    </row>
    <row r="15" spans="1:8" x14ac:dyDescent="0.2">
      <c r="B15" s="8" t="s">
        <v>7</v>
      </c>
      <c r="C15" s="8" t="s">
        <v>22</v>
      </c>
      <c r="D15" s="8" t="s">
        <v>23</v>
      </c>
      <c r="F15" s="6" t="s">
        <v>24</v>
      </c>
    </row>
    <row r="16" spans="1:8" x14ac:dyDescent="0.2">
      <c r="A16" t="s">
        <v>25</v>
      </c>
      <c r="B16">
        <f>B2</f>
        <v>0</v>
      </c>
      <c r="C16" t="str">
        <f ca="1">B5</f>
        <v/>
      </c>
      <c r="D16" t="str">
        <f ca="1">D5</f>
        <v/>
      </c>
      <c r="F16" t="str">
        <f ca="1">C5</f>
        <v/>
      </c>
    </row>
    <row r="17" spans="1:6" x14ac:dyDescent="0.2">
      <c r="A17" t="s">
        <v>26</v>
      </c>
      <c r="B17" t="str">
        <f ca="1">B5</f>
        <v/>
      </c>
      <c r="C17" t="str">
        <f ca="1">D5</f>
        <v/>
      </c>
      <c r="D17" t="str">
        <f ca="1">E5</f>
        <v/>
      </c>
      <c r="F17" t="str">
        <f ca="1">G5</f>
        <v/>
      </c>
    </row>
    <row r="18" spans="1:6" x14ac:dyDescent="0.2">
      <c r="A18" t="s">
        <v>27</v>
      </c>
      <c r="B18" t="str">
        <f ca="1">D5</f>
        <v/>
      </c>
      <c r="C18" t="str">
        <f ca="1">E5</f>
        <v/>
      </c>
      <c r="D18" t="str">
        <f ca="1">F5</f>
        <v/>
      </c>
      <c r="F18" t="str">
        <f ca="1">H5</f>
        <v/>
      </c>
    </row>
    <row r="20" spans="1:6" x14ac:dyDescent="0.2">
      <c r="A20" s="6" t="s">
        <v>28</v>
      </c>
    </row>
    <row r="21" spans="1:6" x14ac:dyDescent="0.2">
      <c r="A21" s="6" t="s">
        <v>29</v>
      </c>
      <c r="B21" t="str">
        <f ca="1">INDEX(MMULT(MINVERSE(B16:D18),F16:F18),1,1)</f>
        <v/>
      </c>
    </row>
    <row r="22" spans="1:6" x14ac:dyDescent="0.2">
      <c r="A22" s="6" t="s">
        <v>30</v>
      </c>
      <c r="B22" t="str">
        <f ca="1">INDEX(MMULT(MINVERSE(B16:D18),F16:F18),2,1)</f>
        <v/>
      </c>
    </row>
    <row r="23" spans="1:6" x14ac:dyDescent="0.2">
      <c r="A23" s="6" t="s">
        <v>31</v>
      </c>
      <c r="B23" t="str">
        <f ca="1">INDEX(MMULT(MINVERSE(B16:D18),F16:F18),3,1)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1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43</v>
      </c>
    </row>
    <row r="2" spans="1:8" x14ac:dyDescent="0.2">
      <c r="A2" s="6" t="s">
        <v>7</v>
      </c>
      <c r="B2">
        <v>48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31</v>
      </c>
      <c r="C5" s="4">
        <v>10</v>
      </c>
      <c r="D5" s="4">
        <f t="shared" ref="D5:D52" si="0">B5^2</f>
        <v>961</v>
      </c>
      <c r="E5" s="4">
        <f t="shared" ref="E5:E52" si="1">B5^3</f>
        <v>29791</v>
      </c>
      <c r="F5" s="4">
        <f t="shared" ref="F5:F52" si="2">B5^4</f>
        <v>923521</v>
      </c>
      <c r="G5" s="4">
        <f t="shared" ref="G5:G52" si="3">B5*C5</f>
        <v>310</v>
      </c>
      <c r="H5" s="4">
        <f t="shared" ref="H5:H52" si="4">D5*C5</f>
        <v>9610</v>
      </c>
    </row>
    <row r="6" spans="1:8" x14ac:dyDescent="0.2">
      <c r="A6" s="4">
        <v>2</v>
      </c>
      <c r="B6" s="4">
        <v>34</v>
      </c>
      <c r="C6" s="4">
        <v>10</v>
      </c>
      <c r="D6" s="4">
        <f t="shared" si="0"/>
        <v>1156</v>
      </c>
      <c r="E6" s="4">
        <f t="shared" si="1"/>
        <v>39304</v>
      </c>
      <c r="F6" s="4">
        <f t="shared" si="2"/>
        <v>1336336</v>
      </c>
      <c r="G6" s="4">
        <f t="shared" si="3"/>
        <v>340</v>
      </c>
      <c r="H6" s="4">
        <f t="shared" si="4"/>
        <v>11560</v>
      </c>
    </row>
    <row r="7" spans="1:8" x14ac:dyDescent="0.2">
      <c r="A7" s="4">
        <v>3</v>
      </c>
      <c r="B7" s="4">
        <v>35</v>
      </c>
      <c r="C7" s="4">
        <v>10</v>
      </c>
      <c r="D7" s="4">
        <f t="shared" si="0"/>
        <v>1225</v>
      </c>
      <c r="E7" s="4">
        <f t="shared" si="1"/>
        <v>42875</v>
      </c>
      <c r="F7" s="4">
        <f t="shared" si="2"/>
        <v>1500625</v>
      </c>
      <c r="G7" s="4">
        <f t="shared" si="3"/>
        <v>350</v>
      </c>
      <c r="H7" s="4">
        <f t="shared" si="4"/>
        <v>12250</v>
      </c>
    </row>
    <row r="8" spans="1:8" x14ac:dyDescent="0.2">
      <c r="A8" s="4">
        <v>4</v>
      </c>
      <c r="B8" s="4">
        <v>33</v>
      </c>
      <c r="C8" s="4">
        <v>10</v>
      </c>
      <c r="D8" s="4">
        <f t="shared" si="0"/>
        <v>1089</v>
      </c>
      <c r="E8" s="4">
        <f t="shared" si="1"/>
        <v>35937</v>
      </c>
      <c r="F8" s="4">
        <f t="shared" si="2"/>
        <v>1185921</v>
      </c>
      <c r="G8" s="4">
        <f t="shared" si="3"/>
        <v>330</v>
      </c>
      <c r="H8" s="4">
        <f t="shared" si="4"/>
        <v>10890</v>
      </c>
    </row>
    <row r="9" spans="1:8" x14ac:dyDescent="0.2">
      <c r="A9" s="4">
        <v>5</v>
      </c>
      <c r="B9" s="4">
        <v>35</v>
      </c>
      <c r="C9" s="4">
        <v>10</v>
      </c>
      <c r="D9" s="4">
        <f t="shared" si="0"/>
        <v>1225</v>
      </c>
      <c r="E9" s="4">
        <f t="shared" si="1"/>
        <v>42875</v>
      </c>
      <c r="F9" s="4">
        <f t="shared" si="2"/>
        <v>1500625</v>
      </c>
      <c r="G9" s="4">
        <f t="shared" si="3"/>
        <v>350</v>
      </c>
      <c r="H9" s="4">
        <f t="shared" si="4"/>
        <v>12250</v>
      </c>
    </row>
    <row r="10" spans="1:8" x14ac:dyDescent="0.2">
      <c r="A10" s="4">
        <v>6</v>
      </c>
      <c r="B10" s="4">
        <v>34</v>
      </c>
      <c r="C10" s="4">
        <v>10</v>
      </c>
      <c r="D10" s="4">
        <f t="shared" si="0"/>
        <v>1156</v>
      </c>
      <c r="E10" s="4">
        <f t="shared" si="1"/>
        <v>39304</v>
      </c>
      <c r="F10" s="4">
        <f t="shared" si="2"/>
        <v>1336336</v>
      </c>
      <c r="G10" s="4">
        <f t="shared" si="3"/>
        <v>340</v>
      </c>
      <c r="H10" s="4">
        <f t="shared" si="4"/>
        <v>11560</v>
      </c>
    </row>
    <row r="11" spans="1:8" x14ac:dyDescent="0.2">
      <c r="A11" s="4">
        <v>7</v>
      </c>
      <c r="B11" s="4">
        <v>32</v>
      </c>
      <c r="C11" s="4">
        <v>10</v>
      </c>
      <c r="D11" s="4">
        <f t="shared" si="0"/>
        <v>1024</v>
      </c>
      <c r="E11" s="4">
        <f t="shared" si="1"/>
        <v>32768</v>
      </c>
      <c r="F11" s="4">
        <f t="shared" si="2"/>
        <v>1048576</v>
      </c>
      <c r="G11" s="4">
        <f t="shared" si="3"/>
        <v>320</v>
      </c>
      <c r="H11" s="4">
        <f t="shared" si="4"/>
        <v>10240</v>
      </c>
    </row>
    <row r="12" spans="1:8" x14ac:dyDescent="0.2">
      <c r="A12" s="4">
        <v>8</v>
      </c>
      <c r="B12" s="4">
        <v>31</v>
      </c>
      <c r="C12" s="4">
        <v>10</v>
      </c>
      <c r="D12" s="4">
        <f t="shared" si="0"/>
        <v>961</v>
      </c>
      <c r="E12" s="4">
        <f t="shared" si="1"/>
        <v>29791</v>
      </c>
      <c r="F12" s="4">
        <f t="shared" si="2"/>
        <v>923521</v>
      </c>
      <c r="G12" s="4">
        <f t="shared" si="3"/>
        <v>310</v>
      </c>
      <c r="H12" s="4">
        <f t="shared" si="4"/>
        <v>9610</v>
      </c>
    </row>
    <row r="13" spans="1:8" x14ac:dyDescent="0.2">
      <c r="A13" s="4">
        <v>9</v>
      </c>
      <c r="B13" s="4">
        <v>33</v>
      </c>
      <c r="C13" s="4">
        <v>10</v>
      </c>
      <c r="D13" s="4">
        <f t="shared" si="0"/>
        <v>1089</v>
      </c>
      <c r="E13" s="4">
        <f t="shared" si="1"/>
        <v>35937</v>
      </c>
      <c r="F13" s="4">
        <f t="shared" si="2"/>
        <v>1185921</v>
      </c>
      <c r="G13" s="4">
        <f t="shared" si="3"/>
        <v>330</v>
      </c>
      <c r="H13" s="4">
        <f t="shared" si="4"/>
        <v>10890</v>
      </c>
    </row>
    <row r="14" spans="1:8" x14ac:dyDescent="0.2">
      <c r="A14" s="4">
        <v>10</v>
      </c>
      <c r="B14" s="4">
        <v>32</v>
      </c>
      <c r="C14" s="4">
        <v>10</v>
      </c>
      <c r="D14" s="4">
        <f t="shared" si="0"/>
        <v>1024</v>
      </c>
      <c r="E14" s="4">
        <f t="shared" si="1"/>
        <v>32768</v>
      </c>
      <c r="F14" s="4">
        <f t="shared" si="2"/>
        <v>1048576</v>
      </c>
      <c r="G14" s="4">
        <f t="shared" si="3"/>
        <v>320</v>
      </c>
      <c r="H14" s="4">
        <f t="shared" si="4"/>
        <v>10240</v>
      </c>
    </row>
    <row r="15" spans="1:8" x14ac:dyDescent="0.2">
      <c r="A15" s="4">
        <v>11</v>
      </c>
      <c r="B15" s="4">
        <v>34</v>
      </c>
      <c r="C15" s="4">
        <v>10</v>
      </c>
      <c r="D15" s="4">
        <f t="shared" si="0"/>
        <v>1156</v>
      </c>
      <c r="E15" s="4">
        <f t="shared" si="1"/>
        <v>39304</v>
      </c>
      <c r="F15" s="4">
        <f t="shared" si="2"/>
        <v>1336336</v>
      </c>
      <c r="G15" s="4">
        <f t="shared" si="3"/>
        <v>340</v>
      </c>
      <c r="H15" s="4">
        <f t="shared" si="4"/>
        <v>11560</v>
      </c>
    </row>
    <row r="16" spans="1:8" x14ac:dyDescent="0.2">
      <c r="A16" s="4">
        <v>12</v>
      </c>
      <c r="B16" s="4">
        <v>35</v>
      </c>
      <c r="C16" s="4">
        <v>10</v>
      </c>
      <c r="D16" s="4">
        <f t="shared" si="0"/>
        <v>1225</v>
      </c>
      <c r="E16" s="4">
        <f t="shared" si="1"/>
        <v>42875</v>
      </c>
      <c r="F16" s="4">
        <f t="shared" si="2"/>
        <v>1500625</v>
      </c>
      <c r="G16" s="4">
        <f t="shared" si="3"/>
        <v>350</v>
      </c>
      <c r="H16" s="4">
        <f t="shared" si="4"/>
        <v>12250</v>
      </c>
    </row>
    <row r="17" spans="1:8" x14ac:dyDescent="0.2">
      <c r="A17" s="4">
        <v>13</v>
      </c>
      <c r="B17" s="4">
        <v>33</v>
      </c>
      <c r="C17" s="4">
        <v>10</v>
      </c>
      <c r="D17" s="4">
        <f t="shared" si="0"/>
        <v>1089</v>
      </c>
      <c r="E17" s="4">
        <f t="shared" si="1"/>
        <v>35937</v>
      </c>
      <c r="F17" s="4">
        <f t="shared" si="2"/>
        <v>1185921</v>
      </c>
      <c r="G17" s="4">
        <f t="shared" si="3"/>
        <v>330</v>
      </c>
      <c r="H17" s="4">
        <f t="shared" si="4"/>
        <v>10890</v>
      </c>
    </row>
    <row r="18" spans="1:8" x14ac:dyDescent="0.2">
      <c r="A18" s="4">
        <v>14</v>
      </c>
      <c r="B18" s="4">
        <v>32</v>
      </c>
      <c r="C18" s="4">
        <v>10</v>
      </c>
      <c r="D18" s="4">
        <f t="shared" si="0"/>
        <v>1024</v>
      </c>
      <c r="E18" s="4">
        <f t="shared" si="1"/>
        <v>32768</v>
      </c>
      <c r="F18" s="4">
        <f t="shared" si="2"/>
        <v>1048576</v>
      </c>
      <c r="G18" s="4">
        <f t="shared" si="3"/>
        <v>320</v>
      </c>
      <c r="H18" s="4">
        <f t="shared" si="4"/>
        <v>10240</v>
      </c>
    </row>
    <row r="19" spans="1:8" x14ac:dyDescent="0.2">
      <c r="A19" s="4">
        <v>15</v>
      </c>
      <c r="B19" s="4">
        <v>35</v>
      </c>
      <c r="C19" s="4">
        <v>10</v>
      </c>
      <c r="D19" s="4">
        <f t="shared" si="0"/>
        <v>1225</v>
      </c>
      <c r="E19" s="4">
        <f t="shared" si="1"/>
        <v>42875</v>
      </c>
      <c r="F19" s="4">
        <f t="shared" si="2"/>
        <v>1500625</v>
      </c>
      <c r="G19" s="4">
        <f t="shared" si="3"/>
        <v>350</v>
      </c>
      <c r="H19" s="4">
        <f t="shared" si="4"/>
        <v>12250</v>
      </c>
    </row>
    <row r="20" spans="1:8" x14ac:dyDescent="0.2">
      <c r="A20" s="4">
        <v>16</v>
      </c>
      <c r="B20" s="4">
        <v>34</v>
      </c>
      <c r="C20" s="4">
        <v>10</v>
      </c>
      <c r="D20" s="4">
        <f t="shared" si="0"/>
        <v>1156</v>
      </c>
      <c r="E20" s="4">
        <f t="shared" si="1"/>
        <v>39304</v>
      </c>
      <c r="F20" s="4">
        <f t="shared" si="2"/>
        <v>1336336</v>
      </c>
      <c r="G20" s="4">
        <f t="shared" si="3"/>
        <v>340</v>
      </c>
      <c r="H20" s="4">
        <f t="shared" si="4"/>
        <v>11560</v>
      </c>
    </row>
    <row r="21" spans="1:8" x14ac:dyDescent="0.2">
      <c r="A21" s="4">
        <v>17</v>
      </c>
      <c r="B21" s="4">
        <v>35</v>
      </c>
      <c r="C21" s="4">
        <v>10</v>
      </c>
      <c r="D21" s="4">
        <f t="shared" si="0"/>
        <v>1225</v>
      </c>
      <c r="E21" s="4">
        <f t="shared" si="1"/>
        <v>42875</v>
      </c>
      <c r="F21" s="4">
        <f t="shared" si="2"/>
        <v>1500625</v>
      </c>
      <c r="G21" s="4">
        <f t="shared" si="3"/>
        <v>350</v>
      </c>
      <c r="H21" s="4">
        <f t="shared" si="4"/>
        <v>12250</v>
      </c>
    </row>
    <row r="22" spans="1:8" x14ac:dyDescent="0.2">
      <c r="A22" s="4">
        <v>18</v>
      </c>
      <c r="B22" s="4">
        <v>33</v>
      </c>
      <c r="C22" s="4">
        <v>10</v>
      </c>
      <c r="D22" s="4">
        <f t="shared" si="0"/>
        <v>1089</v>
      </c>
      <c r="E22" s="4">
        <f t="shared" si="1"/>
        <v>35937</v>
      </c>
      <c r="F22" s="4">
        <f t="shared" si="2"/>
        <v>1185921</v>
      </c>
      <c r="G22" s="4">
        <f t="shared" si="3"/>
        <v>330</v>
      </c>
      <c r="H22" s="4">
        <f t="shared" si="4"/>
        <v>10890</v>
      </c>
    </row>
    <row r="23" spans="1:8" x14ac:dyDescent="0.2">
      <c r="A23" s="4">
        <v>19</v>
      </c>
      <c r="B23" s="4">
        <v>32</v>
      </c>
      <c r="C23" s="4">
        <v>10</v>
      </c>
      <c r="D23" s="4">
        <f t="shared" si="0"/>
        <v>1024</v>
      </c>
      <c r="E23" s="4">
        <f t="shared" si="1"/>
        <v>32768</v>
      </c>
      <c r="F23" s="4">
        <f t="shared" si="2"/>
        <v>1048576</v>
      </c>
      <c r="G23" s="4">
        <f t="shared" si="3"/>
        <v>320</v>
      </c>
      <c r="H23" s="4">
        <f t="shared" si="4"/>
        <v>10240</v>
      </c>
    </row>
    <row r="24" spans="1:8" x14ac:dyDescent="0.2">
      <c r="A24" s="4">
        <v>20</v>
      </c>
      <c r="B24" s="4">
        <v>33</v>
      </c>
      <c r="C24" s="4">
        <v>10</v>
      </c>
      <c r="D24" s="4">
        <f t="shared" si="0"/>
        <v>1089</v>
      </c>
      <c r="E24" s="4">
        <f t="shared" si="1"/>
        <v>35937</v>
      </c>
      <c r="F24" s="4">
        <f t="shared" si="2"/>
        <v>1185921</v>
      </c>
      <c r="G24" s="4">
        <f t="shared" si="3"/>
        <v>330</v>
      </c>
      <c r="H24" s="4">
        <f t="shared" si="4"/>
        <v>10890</v>
      </c>
    </row>
    <row r="25" spans="1:8" x14ac:dyDescent="0.2">
      <c r="A25" s="4">
        <v>21</v>
      </c>
      <c r="B25" s="4">
        <v>44</v>
      </c>
      <c r="C25" s="4">
        <v>15</v>
      </c>
      <c r="D25" s="4">
        <f t="shared" si="0"/>
        <v>1936</v>
      </c>
      <c r="E25" s="4">
        <f t="shared" si="1"/>
        <v>85184</v>
      </c>
      <c r="F25" s="4">
        <f t="shared" si="2"/>
        <v>3748096</v>
      </c>
      <c r="G25" s="4">
        <f t="shared" si="3"/>
        <v>660</v>
      </c>
      <c r="H25" s="4">
        <f t="shared" si="4"/>
        <v>29040</v>
      </c>
    </row>
    <row r="26" spans="1:8" x14ac:dyDescent="0.2">
      <c r="A26" s="4">
        <v>22</v>
      </c>
      <c r="B26" s="4">
        <v>42</v>
      </c>
      <c r="C26" s="4">
        <v>15</v>
      </c>
      <c r="D26" s="4">
        <f t="shared" si="0"/>
        <v>1764</v>
      </c>
      <c r="E26" s="4">
        <f t="shared" si="1"/>
        <v>74088</v>
      </c>
      <c r="F26" s="4">
        <f t="shared" si="2"/>
        <v>3111696</v>
      </c>
      <c r="G26" s="4">
        <f t="shared" si="3"/>
        <v>630</v>
      </c>
      <c r="H26" s="4">
        <f t="shared" si="4"/>
        <v>26460</v>
      </c>
    </row>
    <row r="27" spans="1:8" x14ac:dyDescent="0.2">
      <c r="A27" s="4">
        <v>23</v>
      </c>
      <c r="B27" s="4">
        <v>43</v>
      </c>
      <c r="C27" s="4">
        <v>15</v>
      </c>
      <c r="D27" s="4">
        <f t="shared" si="0"/>
        <v>1849</v>
      </c>
      <c r="E27" s="4">
        <f t="shared" si="1"/>
        <v>79507</v>
      </c>
      <c r="F27" s="4">
        <f t="shared" si="2"/>
        <v>3418801</v>
      </c>
      <c r="G27" s="4">
        <f t="shared" si="3"/>
        <v>645</v>
      </c>
      <c r="H27" s="4">
        <f t="shared" si="4"/>
        <v>27735</v>
      </c>
    </row>
    <row r="28" spans="1:8" x14ac:dyDescent="0.2">
      <c r="A28" s="4">
        <v>24</v>
      </c>
      <c r="B28" s="4">
        <v>44</v>
      </c>
      <c r="C28" s="4">
        <v>15</v>
      </c>
      <c r="D28" s="4">
        <f t="shared" si="0"/>
        <v>1936</v>
      </c>
      <c r="E28" s="4">
        <f t="shared" si="1"/>
        <v>85184</v>
      </c>
      <c r="F28" s="4">
        <f t="shared" si="2"/>
        <v>3748096</v>
      </c>
      <c r="G28" s="4">
        <f t="shared" si="3"/>
        <v>660</v>
      </c>
      <c r="H28" s="4">
        <f t="shared" si="4"/>
        <v>29040</v>
      </c>
    </row>
    <row r="29" spans="1:8" x14ac:dyDescent="0.2">
      <c r="A29" s="4">
        <v>25</v>
      </c>
      <c r="B29" s="4">
        <v>42</v>
      </c>
      <c r="C29" s="4">
        <v>15</v>
      </c>
      <c r="D29" s="4">
        <f t="shared" si="0"/>
        <v>1764</v>
      </c>
      <c r="E29" s="4">
        <f t="shared" si="1"/>
        <v>74088</v>
      </c>
      <c r="F29" s="4">
        <f t="shared" si="2"/>
        <v>3111696</v>
      </c>
      <c r="G29" s="4">
        <f t="shared" si="3"/>
        <v>630</v>
      </c>
      <c r="H29" s="4">
        <f t="shared" si="4"/>
        <v>26460</v>
      </c>
    </row>
    <row r="30" spans="1:8" x14ac:dyDescent="0.2">
      <c r="A30" s="4">
        <v>26</v>
      </c>
      <c r="B30" s="4">
        <v>41</v>
      </c>
      <c r="C30" s="4">
        <v>15</v>
      </c>
      <c r="D30" s="4">
        <f t="shared" si="0"/>
        <v>1681</v>
      </c>
      <c r="E30" s="4">
        <f t="shared" si="1"/>
        <v>68921</v>
      </c>
      <c r="F30" s="4">
        <f t="shared" si="2"/>
        <v>2825761</v>
      </c>
      <c r="G30" s="4">
        <f t="shared" si="3"/>
        <v>615</v>
      </c>
      <c r="H30" s="4">
        <f t="shared" si="4"/>
        <v>25215</v>
      </c>
    </row>
    <row r="31" spans="1:8" x14ac:dyDescent="0.2">
      <c r="A31" s="4">
        <v>27</v>
      </c>
      <c r="B31" s="4">
        <v>43</v>
      </c>
      <c r="C31" s="4">
        <v>15</v>
      </c>
      <c r="D31" s="4">
        <f t="shared" si="0"/>
        <v>1849</v>
      </c>
      <c r="E31" s="4">
        <f t="shared" si="1"/>
        <v>79507</v>
      </c>
      <c r="F31" s="4">
        <f t="shared" si="2"/>
        <v>3418801</v>
      </c>
      <c r="G31" s="4">
        <f t="shared" si="3"/>
        <v>645</v>
      </c>
      <c r="H31" s="4">
        <f t="shared" si="4"/>
        <v>27735</v>
      </c>
    </row>
    <row r="32" spans="1:8" x14ac:dyDescent="0.2">
      <c r="A32" s="4">
        <v>28</v>
      </c>
      <c r="B32" s="4">
        <v>42</v>
      </c>
      <c r="C32" s="4">
        <v>15</v>
      </c>
      <c r="D32" s="4">
        <f t="shared" si="0"/>
        <v>1764</v>
      </c>
      <c r="E32" s="4">
        <f t="shared" si="1"/>
        <v>74088</v>
      </c>
      <c r="F32" s="4">
        <f t="shared" si="2"/>
        <v>3111696</v>
      </c>
      <c r="G32" s="4">
        <f t="shared" si="3"/>
        <v>630</v>
      </c>
      <c r="H32" s="4">
        <f t="shared" si="4"/>
        <v>26460</v>
      </c>
    </row>
    <row r="33" spans="1:8" x14ac:dyDescent="0.2">
      <c r="A33" s="4">
        <v>29</v>
      </c>
      <c r="B33" s="4">
        <v>41</v>
      </c>
      <c r="C33" s="4">
        <v>15</v>
      </c>
      <c r="D33" s="4">
        <f t="shared" si="0"/>
        <v>1681</v>
      </c>
      <c r="E33" s="4">
        <f t="shared" si="1"/>
        <v>68921</v>
      </c>
      <c r="F33" s="4">
        <f t="shared" si="2"/>
        <v>2825761</v>
      </c>
      <c r="G33" s="4">
        <f t="shared" si="3"/>
        <v>615</v>
      </c>
      <c r="H33" s="4">
        <f t="shared" si="4"/>
        <v>25215</v>
      </c>
    </row>
    <row r="34" spans="1:8" x14ac:dyDescent="0.2">
      <c r="A34" s="4">
        <v>30</v>
      </c>
      <c r="B34" s="4">
        <v>43</v>
      </c>
      <c r="C34" s="4">
        <v>15</v>
      </c>
      <c r="D34" s="4">
        <f t="shared" si="0"/>
        <v>1849</v>
      </c>
      <c r="E34" s="4">
        <f t="shared" si="1"/>
        <v>79507</v>
      </c>
      <c r="F34" s="4">
        <f t="shared" si="2"/>
        <v>3418801</v>
      </c>
      <c r="G34" s="4">
        <f t="shared" si="3"/>
        <v>645</v>
      </c>
      <c r="H34" s="4">
        <f t="shared" si="4"/>
        <v>27735</v>
      </c>
    </row>
    <row r="35" spans="1:8" x14ac:dyDescent="0.2">
      <c r="A35" s="4">
        <v>31</v>
      </c>
      <c r="B35" s="4">
        <v>43</v>
      </c>
      <c r="C35" s="4">
        <v>15</v>
      </c>
      <c r="D35" s="4">
        <f t="shared" si="0"/>
        <v>1849</v>
      </c>
      <c r="E35" s="4">
        <f t="shared" si="1"/>
        <v>79507</v>
      </c>
      <c r="F35" s="4">
        <f t="shared" si="2"/>
        <v>3418801</v>
      </c>
      <c r="G35" s="4">
        <f t="shared" si="3"/>
        <v>645</v>
      </c>
      <c r="H35" s="4">
        <f t="shared" si="4"/>
        <v>27735</v>
      </c>
    </row>
    <row r="36" spans="1:8" x14ac:dyDescent="0.2">
      <c r="A36" s="4">
        <v>32</v>
      </c>
      <c r="B36" s="4">
        <v>42</v>
      </c>
      <c r="C36" s="4">
        <v>15</v>
      </c>
      <c r="D36" s="4">
        <f t="shared" si="0"/>
        <v>1764</v>
      </c>
      <c r="E36" s="4">
        <f t="shared" si="1"/>
        <v>74088</v>
      </c>
      <c r="F36" s="4">
        <f t="shared" si="2"/>
        <v>3111696</v>
      </c>
      <c r="G36" s="4">
        <f t="shared" si="3"/>
        <v>630</v>
      </c>
      <c r="H36" s="4">
        <f t="shared" si="4"/>
        <v>26460</v>
      </c>
    </row>
    <row r="37" spans="1:8" x14ac:dyDescent="0.2">
      <c r="A37" s="4">
        <v>33</v>
      </c>
      <c r="B37" s="4">
        <v>44</v>
      </c>
      <c r="C37" s="4">
        <v>15</v>
      </c>
      <c r="D37" s="4">
        <f t="shared" si="0"/>
        <v>1936</v>
      </c>
      <c r="E37" s="4">
        <f t="shared" si="1"/>
        <v>85184</v>
      </c>
      <c r="F37" s="4">
        <f t="shared" si="2"/>
        <v>3748096</v>
      </c>
      <c r="G37" s="4">
        <f t="shared" si="3"/>
        <v>660</v>
      </c>
      <c r="H37" s="4">
        <f t="shared" si="4"/>
        <v>29040</v>
      </c>
    </row>
    <row r="38" spans="1:8" x14ac:dyDescent="0.2">
      <c r="A38" s="4">
        <v>34</v>
      </c>
      <c r="B38" s="4">
        <v>43</v>
      </c>
      <c r="C38" s="4">
        <v>15</v>
      </c>
      <c r="D38" s="4">
        <f t="shared" si="0"/>
        <v>1849</v>
      </c>
      <c r="E38" s="4">
        <f t="shared" si="1"/>
        <v>79507</v>
      </c>
      <c r="F38" s="4">
        <f t="shared" si="2"/>
        <v>3418801</v>
      </c>
      <c r="G38" s="4">
        <f t="shared" si="3"/>
        <v>645</v>
      </c>
      <c r="H38" s="4">
        <f t="shared" si="4"/>
        <v>27735</v>
      </c>
    </row>
    <row r="39" spans="1:8" x14ac:dyDescent="0.2">
      <c r="A39" s="4">
        <v>35</v>
      </c>
      <c r="B39" s="4">
        <v>40</v>
      </c>
      <c r="C39" s="4">
        <v>15</v>
      </c>
      <c r="D39" s="4">
        <f t="shared" si="0"/>
        <v>1600</v>
      </c>
      <c r="E39" s="4">
        <f t="shared" si="1"/>
        <v>64000</v>
      </c>
      <c r="F39" s="4">
        <f t="shared" si="2"/>
        <v>2560000</v>
      </c>
      <c r="G39" s="4">
        <f t="shared" si="3"/>
        <v>600</v>
      </c>
      <c r="H39" s="4">
        <f t="shared" si="4"/>
        <v>24000</v>
      </c>
    </row>
    <row r="40" spans="1:8" x14ac:dyDescent="0.2">
      <c r="A40" s="4">
        <v>36</v>
      </c>
      <c r="B40" s="4">
        <v>41</v>
      </c>
      <c r="C40" s="4">
        <v>15</v>
      </c>
      <c r="D40" s="4">
        <f t="shared" si="0"/>
        <v>1681</v>
      </c>
      <c r="E40" s="4">
        <f t="shared" si="1"/>
        <v>68921</v>
      </c>
      <c r="F40" s="4">
        <f t="shared" si="2"/>
        <v>2825761</v>
      </c>
      <c r="G40" s="4">
        <f t="shared" si="3"/>
        <v>615</v>
      </c>
      <c r="H40" s="4">
        <f t="shared" si="4"/>
        <v>25215</v>
      </c>
    </row>
    <row r="41" spans="1:8" x14ac:dyDescent="0.2">
      <c r="A41" s="4">
        <v>37</v>
      </c>
      <c r="B41" s="4">
        <v>43</v>
      </c>
      <c r="C41" s="4">
        <v>15</v>
      </c>
      <c r="D41" s="4">
        <f t="shared" si="0"/>
        <v>1849</v>
      </c>
      <c r="E41" s="4">
        <f t="shared" si="1"/>
        <v>79507</v>
      </c>
      <c r="F41" s="4">
        <f t="shared" si="2"/>
        <v>3418801</v>
      </c>
      <c r="G41" s="4">
        <f t="shared" si="3"/>
        <v>645</v>
      </c>
      <c r="H41" s="4">
        <f t="shared" si="4"/>
        <v>27735</v>
      </c>
    </row>
    <row r="42" spans="1:8" x14ac:dyDescent="0.2">
      <c r="A42" s="4">
        <v>38</v>
      </c>
      <c r="B42" s="4">
        <v>44</v>
      </c>
      <c r="C42" s="4">
        <v>15</v>
      </c>
      <c r="D42" s="4">
        <f t="shared" si="0"/>
        <v>1936</v>
      </c>
      <c r="E42" s="4">
        <f t="shared" si="1"/>
        <v>85184</v>
      </c>
      <c r="F42" s="4">
        <f t="shared" si="2"/>
        <v>3748096</v>
      </c>
      <c r="G42" s="4">
        <f t="shared" si="3"/>
        <v>660</v>
      </c>
      <c r="H42" s="4">
        <f t="shared" si="4"/>
        <v>29040</v>
      </c>
    </row>
    <row r="43" spans="1:8" x14ac:dyDescent="0.2">
      <c r="A43" s="4">
        <v>39</v>
      </c>
      <c r="B43" s="4">
        <v>42</v>
      </c>
      <c r="C43" s="4">
        <v>15</v>
      </c>
      <c r="D43" s="4">
        <f t="shared" si="0"/>
        <v>1764</v>
      </c>
      <c r="E43" s="4">
        <f t="shared" si="1"/>
        <v>74088</v>
      </c>
      <c r="F43" s="4">
        <f t="shared" si="2"/>
        <v>3111696</v>
      </c>
      <c r="G43" s="4">
        <f t="shared" si="3"/>
        <v>630</v>
      </c>
      <c r="H43" s="4">
        <f t="shared" si="4"/>
        <v>26460</v>
      </c>
    </row>
    <row r="44" spans="1:8" x14ac:dyDescent="0.2">
      <c r="A44" s="4">
        <v>40</v>
      </c>
      <c r="B44" s="4">
        <v>43</v>
      </c>
      <c r="C44" s="4">
        <v>15</v>
      </c>
      <c r="D44" s="4">
        <f t="shared" si="0"/>
        <v>1849</v>
      </c>
      <c r="E44" s="4">
        <f t="shared" si="1"/>
        <v>79507</v>
      </c>
      <c r="F44" s="4">
        <f t="shared" si="2"/>
        <v>3418801</v>
      </c>
      <c r="G44" s="4">
        <f t="shared" si="3"/>
        <v>645</v>
      </c>
      <c r="H44" s="4">
        <f t="shared" si="4"/>
        <v>27735</v>
      </c>
    </row>
    <row r="45" spans="1:8" x14ac:dyDescent="0.2">
      <c r="A45" s="4">
        <v>41</v>
      </c>
      <c r="B45" s="4">
        <v>49</v>
      </c>
      <c r="C45" s="4">
        <v>20</v>
      </c>
      <c r="D45" s="4">
        <f t="shared" si="0"/>
        <v>2401</v>
      </c>
      <c r="E45" s="4">
        <f t="shared" si="1"/>
        <v>117649</v>
      </c>
      <c r="F45" s="4">
        <f t="shared" si="2"/>
        <v>5764801</v>
      </c>
      <c r="G45" s="4">
        <f t="shared" si="3"/>
        <v>980</v>
      </c>
      <c r="H45" s="4">
        <f t="shared" si="4"/>
        <v>48020</v>
      </c>
    </row>
    <row r="46" spans="1:8" x14ac:dyDescent="0.2">
      <c r="A46" s="4">
        <v>42</v>
      </c>
      <c r="B46" s="4">
        <v>49</v>
      </c>
      <c r="C46" s="4">
        <v>20</v>
      </c>
      <c r="D46" s="4">
        <f t="shared" si="0"/>
        <v>2401</v>
      </c>
      <c r="E46" s="4">
        <f t="shared" si="1"/>
        <v>117649</v>
      </c>
      <c r="F46" s="4">
        <f t="shared" si="2"/>
        <v>5764801</v>
      </c>
      <c r="G46" s="4">
        <f t="shared" si="3"/>
        <v>980</v>
      </c>
      <c r="H46" s="4">
        <f t="shared" si="4"/>
        <v>48020</v>
      </c>
    </row>
    <row r="47" spans="1:8" x14ac:dyDescent="0.2">
      <c r="A47" s="4">
        <v>43</v>
      </c>
      <c r="B47" s="4">
        <v>48</v>
      </c>
      <c r="C47" s="4">
        <v>20</v>
      </c>
      <c r="D47" s="4">
        <f t="shared" si="0"/>
        <v>2304</v>
      </c>
      <c r="E47" s="4">
        <f t="shared" si="1"/>
        <v>110592</v>
      </c>
      <c r="F47" s="4">
        <f t="shared" si="2"/>
        <v>5308416</v>
      </c>
      <c r="G47" s="4">
        <f t="shared" si="3"/>
        <v>960</v>
      </c>
      <c r="H47" s="4">
        <f t="shared" si="4"/>
        <v>46080</v>
      </c>
    </row>
    <row r="48" spans="1:8" x14ac:dyDescent="0.2">
      <c r="A48" s="4">
        <v>44</v>
      </c>
      <c r="B48" s="4">
        <v>49</v>
      </c>
      <c r="C48" s="4">
        <v>20</v>
      </c>
      <c r="D48" s="4">
        <f t="shared" si="0"/>
        <v>2401</v>
      </c>
      <c r="E48" s="4">
        <f t="shared" si="1"/>
        <v>117649</v>
      </c>
      <c r="F48" s="4">
        <f t="shared" si="2"/>
        <v>5764801</v>
      </c>
      <c r="G48" s="4">
        <f t="shared" si="3"/>
        <v>980</v>
      </c>
      <c r="H48" s="4">
        <f t="shared" si="4"/>
        <v>48020</v>
      </c>
    </row>
    <row r="49" spans="1:8" x14ac:dyDescent="0.2">
      <c r="A49" s="4">
        <v>45</v>
      </c>
      <c r="B49" s="4">
        <v>47</v>
      </c>
      <c r="C49" s="4">
        <v>20</v>
      </c>
      <c r="D49" s="4">
        <f t="shared" si="0"/>
        <v>2209</v>
      </c>
      <c r="E49" s="4">
        <f t="shared" si="1"/>
        <v>103823</v>
      </c>
      <c r="F49" s="4">
        <f t="shared" si="2"/>
        <v>4879681</v>
      </c>
      <c r="G49" s="4">
        <f t="shared" si="3"/>
        <v>940</v>
      </c>
      <c r="H49" s="4">
        <f t="shared" si="4"/>
        <v>44180</v>
      </c>
    </row>
    <row r="50" spans="1:8" x14ac:dyDescent="0.2">
      <c r="A50" s="4">
        <v>46</v>
      </c>
      <c r="B50" s="4">
        <v>49</v>
      </c>
      <c r="C50" s="4">
        <v>20</v>
      </c>
      <c r="D50" s="4">
        <f t="shared" si="0"/>
        <v>2401</v>
      </c>
      <c r="E50" s="4">
        <f t="shared" si="1"/>
        <v>117649</v>
      </c>
      <c r="F50" s="4">
        <f t="shared" si="2"/>
        <v>5764801</v>
      </c>
      <c r="G50" s="4">
        <f t="shared" si="3"/>
        <v>980</v>
      </c>
      <c r="H50" s="4">
        <f t="shared" si="4"/>
        <v>48020</v>
      </c>
    </row>
    <row r="51" spans="1:8" x14ac:dyDescent="0.2">
      <c r="A51" s="4">
        <v>47</v>
      </c>
      <c r="B51" s="4">
        <v>49</v>
      </c>
      <c r="C51" s="4">
        <v>20</v>
      </c>
      <c r="D51" s="4">
        <f t="shared" si="0"/>
        <v>2401</v>
      </c>
      <c r="E51" s="4">
        <f t="shared" si="1"/>
        <v>117649</v>
      </c>
      <c r="F51" s="4">
        <f t="shared" si="2"/>
        <v>5764801</v>
      </c>
      <c r="G51" s="4">
        <f t="shared" si="3"/>
        <v>980</v>
      </c>
      <c r="H51" s="4">
        <f t="shared" si="4"/>
        <v>48020</v>
      </c>
    </row>
    <row r="52" spans="1:8" x14ac:dyDescent="0.2">
      <c r="A52" s="4">
        <v>48</v>
      </c>
      <c r="B52" s="4">
        <v>48</v>
      </c>
      <c r="C52" s="4">
        <v>20</v>
      </c>
      <c r="D52" s="4">
        <f t="shared" si="0"/>
        <v>2304</v>
      </c>
      <c r="E52" s="4">
        <f t="shared" si="1"/>
        <v>110592</v>
      </c>
      <c r="F52" s="4">
        <f t="shared" si="2"/>
        <v>5308416</v>
      </c>
      <c r="G52" s="4">
        <f t="shared" si="3"/>
        <v>960</v>
      </c>
      <c r="H52" s="4">
        <f t="shared" si="4"/>
        <v>46080</v>
      </c>
    </row>
    <row r="53" spans="1:8" x14ac:dyDescent="0.2">
      <c r="A53" s="7" t="s">
        <v>16</v>
      </c>
      <c r="B53" s="7">
        <f t="shared" ref="B53:H53" si="5">SUM(B5:B52)</f>
        <v>1904</v>
      </c>
      <c r="C53" s="7">
        <f t="shared" si="5"/>
        <v>660</v>
      </c>
      <c r="D53" s="7">
        <f t="shared" si="5"/>
        <v>77184</v>
      </c>
      <c r="E53" s="7">
        <f t="shared" si="5"/>
        <v>3193670</v>
      </c>
      <c r="F53" s="7">
        <f t="shared" si="5"/>
        <v>134659692</v>
      </c>
      <c r="G53" s="7">
        <f t="shared" si="5"/>
        <v>27170</v>
      </c>
      <c r="H53" s="7">
        <f t="shared" si="5"/>
        <v>1140810</v>
      </c>
    </row>
    <row r="56" spans="1:8" x14ac:dyDescent="0.2">
      <c r="A56" s="6" t="s">
        <v>17</v>
      </c>
    </row>
    <row r="57" spans="1:8" x14ac:dyDescent="0.2">
      <c r="A57" s="6" t="s">
        <v>18</v>
      </c>
      <c r="B57">
        <f>((B2*G53)-(B53*C53)) / ((B2*D53)-(B53^2))</f>
        <v>0.59686495176848875</v>
      </c>
    </row>
    <row r="58" spans="1:8" x14ac:dyDescent="0.2">
      <c r="A58" s="6" t="s">
        <v>19</v>
      </c>
      <c r="B58">
        <f>(C53-B57*B53)/B2</f>
        <v>-9.92564308681672</v>
      </c>
    </row>
    <row r="61" spans="1:8" x14ac:dyDescent="0.2">
      <c r="A61" s="6" t="s">
        <v>20</v>
      </c>
    </row>
    <row r="62" spans="1:8" x14ac:dyDescent="0.2">
      <c r="A62" s="6" t="s">
        <v>21</v>
      </c>
    </row>
    <row r="63" spans="1:8" x14ac:dyDescent="0.2">
      <c r="B63" s="8" t="s">
        <v>7</v>
      </c>
      <c r="C63" s="8" t="s">
        <v>22</v>
      </c>
      <c r="D63" s="8" t="s">
        <v>23</v>
      </c>
      <c r="F63" s="6" t="s">
        <v>24</v>
      </c>
    </row>
    <row r="64" spans="1:8" x14ac:dyDescent="0.2">
      <c r="A64" t="s">
        <v>25</v>
      </c>
      <c r="B64">
        <f>B2</f>
        <v>48</v>
      </c>
      <c r="C64">
        <f>B53</f>
        <v>1904</v>
      </c>
      <c r="D64">
        <f>D53</f>
        <v>77184</v>
      </c>
      <c r="F64">
        <f>C53</f>
        <v>660</v>
      </c>
    </row>
    <row r="65" spans="1:6" x14ac:dyDescent="0.2">
      <c r="A65" t="s">
        <v>26</v>
      </c>
      <c r="B65">
        <f>B53</f>
        <v>1904</v>
      </c>
      <c r="C65">
        <f>D53</f>
        <v>77184</v>
      </c>
      <c r="D65">
        <f>E53</f>
        <v>3193670</v>
      </c>
      <c r="F65">
        <f>G53</f>
        <v>27170</v>
      </c>
    </row>
    <row r="66" spans="1:6" x14ac:dyDescent="0.2">
      <c r="A66" t="s">
        <v>27</v>
      </c>
      <c r="B66">
        <f>D53</f>
        <v>77184</v>
      </c>
      <c r="C66">
        <f>E53</f>
        <v>3193670</v>
      </c>
      <c r="D66">
        <f>F53</f>
        <v>134659692</v>
      </c>
      <c r="F66">
        <f>H53</f>
        <v>1140810</v>
      </c>
    </row>
    <row r="68" spans="1:6" x14ac:dyDescent="0.2">
      <c r="A68" s="6" t="s">
        <v>28</v>
      </c>
    </row>
    <row r="69" spans="1:6" x14ac:dyDescent="0.2">
      <c r="A69" s="6" t="s">
        <v>29</v>
      </c>
      <c r="B69">
        <f>INDEX(MMULT(MINVERSE(B64:D66),F64:F66),1,1)</f>
        <v>20.320617555706121</v>
      </c>
    </row>
    <row r="70" spans="1:6" x14ac:dyDescent="0.2">
      <c r="A70" s="6" t="s">
        <v>30</v>
      </c>
      <c r="B70">
        <f>INDEX(MMULT(MINVERSE(B64:D66),F64:F66),2,1)</f>
        <v>-0.95686221244477565</v>
      </c>
    </row>
    <row r="71" spans="1:6" x14ac:dyDescent="0.2">
      <c r="A71" s="6" t="s">
        <v>31</v>
      </c>
      <c r="B71">
        <f>INDEX(MMULT(MINVERSE(B64:D66),F64:F66),3,1)</f>
        <v>1.9517983128906735E-2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1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44</v>
      </c>
    </row>
    <row r="2" spans="1:8" x14ac:dyDescent="0.2">
      <c r="A2" s="6" t="s">
        <v>7</v>
      </c>
      <c r="B2">
        <v>108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53</v>
      </c>
      <c r="C5" s="4">
        <v>20</v>
      </c>
      <c r="D5" s="4">
        <f t="shared" ref="D5:D36" si="0">B5^2</f>
        <v>2809</v>
      </c>
      <c r="E5" s="4">
        <f t="shared" ref="E5:E36" si="1">B5^3</f>
        <v>148877</v>
      </c>
      <c r="F5" s="4">
        <f t="shared" ref="F5:F36" si="2">B5^4</f>
        <v>7890481</v>
      </c>
      <c r="G5" s="4">
        <f t="shared" ref="G5:G36" si="3">B5*C5</f>
        <v>1060</v>
      </c>
      <c r="H5" s="4">
        <f t="shared" ref="H5:H36" si="4">D5*C5</f>
        <v>56180</v>
      </c>
    </row>
    <row r="6" spans="1:8" x14ac:dyDescent="0.2">
      <c r="A6" s="4">
        <v>2</v>
      </c>
      <c r="B6" s="4">
        <v>52</v>
      </c>
      <c r="C6" s="4">
        <v>20</v>
      </c>
      <c r="D6" s="4">
        <f t="shared" si="0"/>
        <v>2704</v>
      </c>
      <c r="E6" s="4">
        <f t="shared" si="1"/>
        <v>140608</v>
      </c>
      <c r="F6" s="4">
        <f t="shared" si="2"/>
        <v>7311616</v>
      </c>
      <c r="G6" s="4">
        <f t="shared" si="3"/>
        <v>1040</v>
      </c>
      <c r="H6" s="4">
        <f t="shared" si="4"/>
        <v>54080</v>
      </c>
    </row>
    <row r="7" spans="1:8" x14ac:dyDescent="0.2">
      <c r="A7" s="4">
        <v>3</v>
      </c>
      <c r="B7" s="4">
        <v>50</v>
      </c>
      <c r="C7" s="4">
        <v>20</v>
      </c>
      <c r="D7" s="4">
        <f t="shared" si="0"/>
        <v>2500</v>
      </c>
      <c r="E7" s="4">
        <f t="shared" si="1"/>
        <v>125000</v>
      </c>
      <c r="F7" s="4">
        <f t="shared" si="2"/>
        <v>6250000</v>
      </c>
      <c r="G7" s="4">
        <f t="shared" si="3"/>
        <v>1000</v>
      </c>
      <c r="H7" s="4">
        <f t="shared" si="4"/>
        <v>50000</v>
      </c>
    </row>
    <row r="8" spans="1:8" x14ac:dyDescent="0.2">
      <c r="A8" s="4">
        <v>4</v>
      </c>
      <c r="B8" s="4">
        <v>50</v>
      </c>
      <c r="C8" s="4">
        <v>20</v>
      </c>
      <c r="D8" s="4">
        <f t="shared" si="0"/>
        <v>2500</v>
      </c>
      <c r="E8" s="4">
        <f t="shared" si="1"/>
        <v>125000</v>
      </c>
      <c r="F8" s="4">
        <f t="shared" si="2"/>
        <v>6250000</v>
      </c>
      <c r="G8" s="4">
        <f t="shared" si="3"/>
        <v>1000</v>
      </c>
      <c r="H8" s="4">
        <f t="shared" si="4"/>
        <v>50000</v>
      </c>
    </row>
    <row r="9" spans="1:8" x14ac:dyDescent="0.2">
      <c r="A9" s="4">
        <v>5</v>
      </c>
      <c r="B9" s="4">
        <v>51</v>
      </c>
      <c r="C9" s="4">
        <v>20</v>
      </c>
      <c r="D9" s="4">
        <f t="shared" si="0"/>
        <v>2601</v>
      </c>
      <c r="E9" s="4">
        <f t="shared" si="1"/>
        <v>132651</v>
      </c>
      <c r="F9" s="4">
        <f t="shared" si="2"/>
        <v>6765201</v>
      </c>
      <c r="G9" s="4">
        <f t="shared" si="3"/>
        <v>1020</v>
      </c>
      <c r="H9" s="4">
        <f t="shared" si="4"/>
        <v>52020</v>
      </c>
    </row>
    <row r="10" spans="1:8" x14ac:dyDescent="0.2">
      <c r="A10" s="4">
        <v>6</v>
      </c>
      <c r="B10" s="4">
        <v>51</v>
      </c>
      <c r="C10" s="4">
        <v>20</v>
      </c>
      <c r="D10" s="4">
        <f t="shared" si="0"/>
        <v>2601</v>
      </c>
      <c r="E10" s="4">
        <f t="shared" si="1"/>
        <v>132651</v>
      </c>
      <c r="F10" s="4">
        <f t="shared" si="2"/>
        <v>6765201</v>
      </c>
      <c r="G10" s="4">
        <f t="shared" si="3"/>
        <v>1020</v>
      </c>
      <c r="H10" s="4">
        <f t="shared" si="4"/>
        <v>52020</v>
      </c>
    </row>
    <row r="11" spans="1:8" x14ac:dyDescent="0.2">
      <c r="A11" s="4">
        <v>7</v>
      </c>
      <c r="B11" s="4">
        <v>50</v>
      </c>
      <c r="C11" s="4">
        <v>20</v>
      </c>
      <c r="D11" s="4">
        <f t="shared" si="0"/>
        <v>2500</v>
      </c>
      <c r="E11" s="4">
        <f t="shared" si="1"/>
        <v>125000</v>
      </c>
      <c r="F11" s="4">
        <f t="shared" si="2"/>
        <v>6250000</v>
      </c>
      <c r="G11" s="4">
        <f t="shared" si="3"/>
        <v>1000</v>
      </c>
      <c r="H11" s="4">
        <f t="shared" si="4"/>
        <v>50000</v>
      </c>
    </row>
    <row r="12" spans="1:8" x14ac:dyDescent="0.2">
      <c r="A12" s="4">
        <v>8</v>
      </c>
      <c r="B12" s="4">
        <v>50</v>
      </c>
      <c r="C12" s="4">
        <v>20</v>
      </c>
      <c r="D12" s="4">
        <f t="shared" si="0"/>
        <v>2500</v>
      </c>
      <c r="E12" s="4">
        <f t="shared" si="1"/>
        <v>125000</v>
      </c>
      <c r="F12" s="4">
        <f t="shared" si="2"/>
        <v>6250000</v>
      </c>
      <c r="G12" s="4">
        <f t="shared" si="3"/>
        <v>1000</v>
      </c>
      <c r="H12" s="4">
        <f t="shared" si="4"/>
        <v>50000</v>
      </c>
    </row>
    <row r="13" spans="1:8" x14ac:dyDescent="0.2">
      <c r="A13" s="4">
        <v>9</v>
      </c>
      <c r="B13" s="4">
        <v>52</v>
      </c>
      <c r="C13" s="4">
        <v>20</v>
      </c>
      <c r="D13" s="4">
        <f t="shared" si="0"/>
        <v>2704</v>
      </c>
      <c r="E13" s="4">
        <f t="shared" si="1"/>
        <v>140608</v>
      </c>
      <c r="F13" s="4">
        <f t="shared" si="2"/>
        <v>7311616</v>
      </c>
      <c r="G13" s="4">
        <f t="shared" si="3"/>
        <v>1040</v>
      </c>
      <c r="H13" s="4">
        <f t="shared" si="4"/>
        <v>54080</v>
      </c>
    </row>
    <row r="14" spans="1:8" x14ac:dyDescent="0.2">
      <c r="A14" s="4">
        <v>10</v>
      </c>
      <c r="B14" s="4">
        <v>50</v>
      </c>
      <c r="C14" s="4">
        <v>20</v>
      </c>
      <c r="D14" s="4">
        <f t="shared" si="0"/>
        <v>2500</v>
      </c>
      <c r="E14" s="4">
        <f t="shared" si="1"/>
        <v>125000</v>
      </c>
      <c r="F14" s="4">
        <f t="shared" si="2"/>
        <v>6250000</v>
      </c>
      <c r="G14" s="4">
        <f t="shared" si="3"/>
        <v>1000</v>
      </c>
      <c r="H14" s="4">
        <f t="shared" si="4"/>
        <v>50000</v>
      </c>
    </row>
    <row r="15" spans="1:8" x14ac:dyDescent="0.2">
      <c r="A15" s="4">
        <v>11</v>
      </c>
      <c r="B15" s="4">
        <v>51</v>
      </c>
      <c r="C15" s="4">
        <v>20</v>
      </c>
      <c r="D15" s="4">
        <f t="shared" si="0"/>
        <v>2601</v>
      </c>
      <c r="E15" s="4">
        <f t="shared" si="1"/>
        <v>132651</v>
      </c>
      <c r="F15" s="4">
        <f t="shared" si="2"/>
        <v>6765201</v>
      </c>
      <c r="G15" s="4">
        <f t="shared" si="3"/>
        <v>1020</v>
      </c>
      <c r="H15" s="4">
        <f t="shared" si="4"/>
        <v>52020</v>
      </c>
    </row>
    <row r="16" spans="1:8" x14ac:dyDescent="0.2">
      <c r="A16" s="4">
        <v>12</v>
      </c>
      <c r="B16" s="4">
        <v>55</v>
      </c>
      <c r="C16" s="4">
        <v>20</v>
      </c>
      <c r="D16" s="4">
        <f t="shared" si="0"/>
        <v>3025</v>
      </c>
      <c r="E16" s="4">
        <f t="shared" si="1"/>
        <v>166375</v>
      </c>
      <c r="F16" s="4">
        <f t="shared" si="2"/>
        <v>9150625</v>
      </c>
      <c r="G16" s="4">
        <f t="shared" si="3"/>
        <v>1100</v>
      </c>
      <c r="H16" s="4">
        <f t="shared" si="4"/>
        <v>60500</v>
      </c>
    </row>
    <row r="17" spans="1:8" x14ac:dyDescent="0.2">
      <c r="A17" s="4">
        <v>13</v>
      </c>
      <c r="B17" s="4">
        <v>63</v>
      </c>
      <c r="C17" s="4">
        <v>25</v>
      </c>
      <c r="D17" s="4">
        <f t="shared" si="0"/>
        <v>3969</v>
      </c>
      <c r="E17" s="4">
        <f t="shared" si="1"/>
        <v>250047</v>
      </c>
      <c r="F17" s="4">
        <f t="shared" si="2"/>
        <v>15752961</v>
      </c>
      <c r="G17" s="4">
        <f t="shared" si="3"/>
        <v>1575</v>
      </c>
      <c r="H17" s="4">
        <f t="shared" si="4"/>
        <v>99225</v>
      </c>
    </row>
    <row r="18" spans="1:8" x14ac:dyDescent="0.2">
      <c r="A18" s="4">
        <v>14</v>
      </c>
      <c r="B18" s="4">
        <v>61</v>
      </c>
      <c r="C18" s="4">
        <v>25</v>
      </c>
      <c r="D18" s="4">
        <f t="shared" si="0"/>
        <v>3721</v>
      </c>
      <c r="E18" s="4">
        <f t="shared" si="1"/>
        <v>226981</v>
      </c>
      <c r="F18" s="4">
        <f t="shared" si="2"/>
        <v>13845841</v>
      </c>
      <c r="G18" s="4">
        <f t="shared" si="3"/>
        <v>1525</v>
      </c>
      <c r="H18" s="4">
        <f t="shared" si="4"/>
        <v>93025</v>
      </c>
    </row>
    <row r="19" spans="1:8" x14ac:dyDescent="0.2">
      <c r="A19" s="4">
        <v>15</v>
      </c>
      <c r="B19" s="4">
        <v>67</v>
      </c>
      <c r="C19" s="4">
        <v>25</v>
      </c>
      <c r="D19" s="4">
        <f t="shared" si="0"/>
        <v>4489</v>
      </c>
      <c r="E19" s="4">
        <f t="shared" si="1"/>
        <v>300763</v>
      </c>
      <c r="F19" s="4">
        <f t="shared" si="2"/>
        <v>20151121</v>
      </c>
      <c r="G19" s="4">
        <f t="shared" si="3"/>
        <v>1675</v>
      </c>
      <c r="H19" s="4">
        <f t="shared" si="4"/>
        <v>112225</v>
      </c>
    </row>
    <row r="20" spans="1:8" x14ac:dyDescent="0.2">
      <c r="A20" s="4">
        <v>16</v>
      </c>
      <c r="B20" s="4">
        <v>64</v>
      </c>
      <c r="C20" s="4">
        <v>25</v>
      </c>
      <c r="D20" s="4">
        <f t="shared" si="0"/>
        <v>4096</v>
      </c>
      <c r="E20" s="4">
        <f t="shared" si="1"/>
        <v>262144</v>
      </c>
      <c r="F20" s="4">
        <f t="shared" si="2"/>
        <v>16777216</v>
      </c>
      <c r="G20" s="4">
        <f t="shared" si="3"/>
        <v>1600</v>
      </c>
      <c r="H20" s="4">
        <f t="shared" si="4"/>
        <v>102400</v>
      </c>
    </row>
    <row r="21" spans="1:8" x14ac:dyDescent="0.2">
      <c r="A21" s="4">
        <v>17</v>
      </c>
      <c r="B21" s="4">
        <v>61</v>
      </c>
      <c r="C21" s="4">
        <v>25</v>
      </c>
      <c r="D21" s="4">
        <f t="shared" si="0"/>
        <v>3721</v>
      </c>
      <c r="E21" s="4">
        <f t="shared" si="1"/>
        <v>226981</v>
      </c>
      <c r="F21" s="4">
        <f t="shared" si="2"/>
        <v>13845841</v>
      </c>
      <c r="G21" s="4">
        <f t="shared" si="3"/>
        <v>1525</v>
      </c>
      <c r="H21" s="4">
        <f t="shared" si="4"/>
        <v>93025</v>
      </c>
    </row>
    <row r="22" spans="1:8" x14ac:dyDescent="0.2">
      <c r="A22" s="4">
        <v>18</v>
      </c>
      <c r="B22" s="4">
        <v>62</v>
      </c>
      <c r="C22" s="4">
        <v>25</v>
      </c>
      <c r="D22" s="4">
        <f t="shared" si="0"/>
        <v>3844</v>
      </c>
      <c r="E22" s="4">
        <f t="shared" si="1"/>
        <v>238328</v>
      </c>
      <c r="F22" s="4">
        <f t="shared" si="2"/>
        <v>14776336</v>
      </c>
      <c r="G22" s="4">
        <f t="shared" si="3"/>
        <v>1550</v>
      </c>
      <c r="H22" s="4">
        <f t="shared" si="4"/>
        <v>96100</v>
      </c>
    </row>
    <row r="23" spans="1:8" x14ac:dyDescent="0.2">
      <c r="A23" s="4">
        <v>19</v>
      </c>
      <c r="B23" s="4">
        <v>60</v>
      </c>
      <c r="C23" s="4">
        <v>25</v>
      </c>
      <c r="D23" s="4">
        <f t="shared" si="0"/>
        <v>3600</v>
      </c>
      <c r="E23" s="4">
        <f t="shared" si="1"/>
        <v>216000</v>
      </c>
      <c r="F23" s="4">
        <f t="shared" si="2"/>
        <v>12960000</v>
      </c>
      <c r="G23" s="4">
        <f t="shared" si="3"/>
        <v>1500</v>
      </c>
      <c r="H23" s="4">
        <f t="shared" si="4"/>
        <v>90000</v>
      </c>
    </row>
    <row r="24" spans="1:8" x14ac:dyDescent="0.2">
      <c r="A24" s="4">
        <v>20</v>
      </c>
      <c r="B24" s="4">
        <v>61</v>
      </c>
      <c r="C24" s="4">
        <v>25</v>
      </c>
      <c r="D24" s="4">
        <f t="shared" si="0"/>
        <v>3721</v>
      </c>
      <c r="E24" s="4">
        <f t="shared" si="1"/>
        <v>226981</v>
      </c>
      <c r="F24" s="4">
        <f t="shared" si="2"/>
        <v>13845841</v>
      </c>
      <c r="G24" s="4">
        <f t="shared" si="3"/>
        <v>1525</v>
      </c>
      <c r="H24" s="4">
        <f t="shared" si="4"/>
        <v>93025</v>
      </c>
    </row>
    <row r="25" spans="1:8" x14ac:dyDescent="0.2">
      <c r="A25" s="4">
        <v>21</v>
      </c>
      <c r="B25" s="4">
        <v>61</v>
      </c>
      <c r="C25" s="4">
        <v>25</v>
      </c>
      <c r="D25" s="4">
        <f t="shared" si="0"/>
        <v>3721</v>
      </c>
      <c r="E25" s="4">
        <f t="shared" si="1"/>
        <v>226981</v>
      </c>
      <c r="F25" s="4">
        <f t="shared" si="2"/>
        <v>13845841</v>
      </c>
      <c r="G25" s="4">
        <f t="shared" si="3"/>
        <v>1525</v>
      </c>
      <c r="H25" s="4">
        <f t="shared" si="4"/>
        <v>93025</v>
      </c>
    </row>
    <row r="26" spans="1:8" x14ac:dyDescent="0.2">
      <c r="A26" s="4">
        <v>22</v>
      </c>
      <c r="B26" s="4">
        <v>62</v>
      </c>
      <c r="C26" s="4">
        <v>25</v>
      </c>
      <c r="D26" s="4">
        <f t="shared" si="0"/>
        <v>3844</v>
      </c>
      <c r="E26" s="4">
        <f t="shared" si="1"/>
        <v>238328</v>
      </c>
      <c r="F26" s="4">
        <f t="shared" si="2"/>
        <v>14776336</v>
      </c>
      <c r="G26" s="4">
        <f t="shared" si="3"/>
        <v>1550</v>
      </c>
      <c r="H26" s="4">
        <f t="shared" si="4"/>
        <v>96100</v>
      </c>
    </row>
    <row r="27" spans="1:8" x14ac:dyDescent="0.2">
      <c r="A27" s="4">
        <v>23</v>
      </c>
      <c r="B27" s="4">
        <v>60</v>
      </c>
      <c r="C27" s="4">
        <v>25</v>
      </c>
      <c r="D27" s="4">
        <f t="shared" si="0"/>
        <v>3600</v>
      </c>
      <c r="E27" s="4">
        <f t="shared" si="1"/>
        <v>216000</v>
      </c>
      <c r="F27" s="4">
        <f t="shared" si="2"/>
        <v>12960000</v>
      </c>
      <c r="G27" s="4">
        <f t="shared" si="3"/>
        <v>1500</v>
      </c>
      <c r="H27" s="4">
        <f t="shared" si="4"/>
        <v>90000</v>
      </c>
    </row>
    <row r="28" spans="1:8" x14ac:dyDescent="0.2">
      <c r="A28" s="4">
        <v>24</v>
      </c>
      <c r="B28" s="4">
        <v>62</v>
      </c>
      <c r="C28" s="4">
        <v>25</v>
      </c>
      <c r="D28" s="4">
        <f t="shared" si="0"/>
        <v>3844</v>
      </c>
      <c r="E28" s="4">
        <f t="shared" si="1"/>
        <v>238328</v>
      </c>
      <c r="F28" s="4">
        <f t="shared" si="2"/>
        <v>14776336</v>
      </c>
      <c r="G28" s="4">
        <f t="shared" si="3"/>
        <v>1550</v>
      </c>
      <c r="H28" s="4">
        <f t="shared" si="4"/>
        <v>96100</v>
      </c>
    </row>
    <row r="29" spans="1:8" x14ac:dyDescent="0.2">
      <c r="A29" s="4">
        <v>25</v>
      </c>
      <c r="B29" s="4">
        <v>61</v>
      </c>
      <c r="C29" s="4">
        <v>25</v>
      </c>
      <c r="D29" s="4">
        <f t="shared" si="0"/>
        <v>3721</v>
      </c>
      <c r="E29" s="4">
        <f t="shared" si="1"/>
        <v>226981</v>
      </c>
      <c r="F29" s="4">
        <f t="shared" si="2"/>
        <v>13845841</v>
      </c>
      <c r="G29" s="4">
        <f t="shared" si="3"/>
        <v>1525</v>
      </c>
      <c r="H29" s="4">
        <f t="shared" si="4"/>
        <v>93025</v>
      </c>
    </row>
    <row r="30" spans="1:8" x14ac:dyDescent="0.2">
      <c r="A30" s="4">
        <v>26</v>
      </c>
      <c r="B30" s="4">
        <v>58</v>
      </c>
      <c r="C30" s="4">
        <v>25</v>
      </c>
      <c r="D30" s="4">
        <f t="shared" si="0"/>
        <v>3364</v>
      </c>
      <c r="E30" s="4">
        <f t="shared" si="1"/>
        <v>195112</v>
      </c>
      <c r="F30" s="4">
        <f t="shared" si="2"/>
        <v>11316496</v>
      </c>
      <c r="G30" s="4">
        <f t="shared" si="3"/>
        <v>1450</v>
      </c>
      <c r="H30" s="4">
        <f t="shared" si="4"/>
        <v>84100</v>
      </c>
    </row>
    <row r="31" spans="1:8" x14ac:dyDescent="0.2">
      <c r="A31" s="4">
        <v>27</v>
      </c>
      <c r="B31" s="4">
        <v>59</v>
      </c>
      <c r="C31" s="4">
        <v>25</v>
      </c>
      <c r="D31" s="4">
        <f t="shared" si="0"/>
        <v>3481</v>
      </c>
      <c r="E31" s="4">
        <f t="shared" si="1"/>
        <v>205379</v>
      </c>
      <c r="F31" s="4">
        <f t="shared" si="2"/>
        <v>12117361</v>
      </c>
      <c r="G31" s="4">
        <f t="shared" si="3"/>
        <v>1475</v>
      </c>
      <c r="H31" s="4">
        <f t="shared" si="4"/>
        <v>87025</v>
      </c>
    </row>
    <row r="32" spans="1:8" x14ac:dyDescent="0.2">
      <c r="A32" s="4">
        <v>28</v>
      </c>
      <c r="B32" s="4">
        <v>60</v>
      </c>
      <c r="C32" s="4">
        <v>25</v>
      </c>
      <c r="D32" s="4">
        <f t="shared" si="0"/>
        <v>3600</v>
      </c>
      <c r="E32" s="4">
        <f t="shared" si="1"/>
        <v>216000</v>
      </c>
      <c r="F32" s="4">
        <f t="shared" si="2"/>
        <v>12960000</v>
      </c>
      <c r="G32" s="4">
        <f t="shared" si="3"/>
        <v>1500</v>
      </c>
      <c r="H32" s="4">
        <f t="shared" si="4"/>
        <v>90000</v>
      </c>
    </row>
    <row r="33" spans="1:8" x14ac:dyDescent="0.2">
      <c r="A33" s="4">
        <v>29</v>
      </c>
      <c r="B33" s="4">
        <v>63</v>
      </c>
      <c r="C33" s="4">
        <v>25</v>
      </c>
      <c r="D33" s="4">
        <f t="shared" si="0"/>
        <v>3969</v>
      </c>
      <c r="E33" s="4">
        <f t="shared" si="1"/>
        <v>250047</v>
      </c>
      <c r="F33" s="4">
        <f t="shared" si="2"/>
        <v>15752961</v>
      </c>
      <c r="G33" s="4">
        <f t="shared" si="3"/>
        <v>1575</v>
      </c>
      <c r="H33" s="4">
        <f t="shared" si="4"/>
        <v>99225</v>
      </c>
    </row>
    <row r="34" spans="1:8" x14ac:dyDescent="0.2">
      <c r="A34" s="4">
        <v>30</v>
      </c>
      <c r="B34" s="4">
        <v>62</v>
      </c>
      <c r="C34" s="4">
        <v>25</v>
      </c>
      <c r="D34" s="4">
        <f t="shared" si="0"/>
        <v>3844</v>
      </c>
      <c r="E34" s="4">
        <f t="shared" si="1"/>
        <v>238328</v>
      </c>
      <c r="F34" s="4">
        <f t="shared" si="2"/>
        <v>14776336</v>
      </c>
      <c r="G34" s="4">
        <f t="shared" si="3"/>
        <v>1550</v>
      </c>
      <c r="H34" s="4">
        <f t="shared" si="4"/>
        <v>96100</v>
      </c>
    </row>
    <row r="35" spans="1:8" x14ac:dyDescent="0.2">
      <c r="A35" s="4">
        <v>31</v>
      </c>
      <c r="B35" s="4">
        <v>60</v>
      </c>
      <c r="C35" s="4">
        <v>25</v>
      </c>
      <c r="D35" s="4">
        <f t="shared" si="0"/>
        <v>3600</v>
      </c>
      <c r="E35" s="4">
        <f t="shared" si="1"/>
        <v>216000</v>
      </c>
      <c r="F35" s="4">
        <f t="shared" si="2"/>
        <v>12960000</v>
      </c>
      <c r="G35" s="4">
        <f t="shared" si="3"/>
        <v>1500</v>
      </c>
      <c r="H35" s="4">
        <f t="shared" si="4"/>
        <v>90000</v>
      </c>
    </row>
    <row r="36" spans="1:8" x14ac:dyDescent="0.2">
      <c r="A36" s="4">
        <v>32</v>
      </c>
      <c r="B36" s="4">
        <v>62</v>
      </c>
      <c r="C36" s="4">
        <v>25</v>
      </c>
      <c r="D36" s="4">
        <f t="shared" si="0"/>
        <v>3844</v>
      </c>
      <c r="E36" s="4">
        <f t="shared" si="1"/>
        <v>238328</v>
      </c>
      <c r="F36" s="4">
        <f t="shared" si="2"/>
        <v>14776336</v>
      </c>
      <c r="G36" s="4">
        <f t="shared" si="3"/>
        <v>1550</v>
      </c>
      <c r="H36" s="4">
        <f t="shared" si="4"/>
        <v>96100</v>
      </c>
    </row>
    <row r="37" spans="1:8" x14ac:dyDescent="0.2">
      <c r="A37" s="4">
        <v>33</v>
      </c>
      <c r="B37" s="4">
        <v>65</v>
      </c>
      <c r="C37" s="4">
        <v>30</v>
      </c>
      <c r="D37" s="4">
        <f t="shared" ref="D37:D68" si="5">B37^2</f>
        <v>4225</v>
      </c>
      <c r="E37" s="4">
        <f t="shared" ref="E37:E68" si="6">B37^3</f>
        <v>274625</v>
      </c>
      <c r="F37" s="4">
        <f t="shared" ref="F37:F68" si="7">B37^4</f>
        <v>17850625</v>
      </c>
      <c r="G37" s="4">
        <f t="shared" ref="G37:G68" si="8">B37*C37</f>
        <v>1950</v>
      </c>
      <c r="H37" s="4">
        <f t="shared" ref="H37:H68" si="9">D37*C37</f>
        <v>126750</v>
      </c>
    </row>
    <row r="38" spans="1:8" x14ac:dyDescent="0.2">
      <c r="A38" s="4">
        <v>34</v>
      </c>
      <c r="B38" s="4">
        <v>66</v>
      </c>
      <c r="C38" s="4">
        <v>30</v>
      </c>
      <c r="D38" s="4">
        <f t="shared" si="5"/>
        <v>4356</v>
      </c>
      <c r="E38" s="4">
        <f t="shared" si="6"/>
        <v>287496</v>
      </c>
      <c r="F38" s="4">
        <f t="shared" si="7"/>
        <v>18974736</v>
      </c>
      <c r="G38" s="4">
        <f t="shared" si="8"/>
        <v>1980</v>
      </c>
      <c r="H38" s="4">
        <f t="shared" si="9"/>
        <v>130680</v>
      </c>
    </row>
    <row r="39" spans="1:8" x14ac:dyDescent="0.2">
      <c r="A39" s="4">
        <v>35</v>
      </c>
      <c r="B39" s="4">
        <v>64</v>
      </c>
      <c r="C39" s="4">
        <v>30</v>
      </c>
      <c r="D39" s="4">
        <f t="shared" si="5"/>
        <v>4096</v>
      </c>
      <c r="E39" s="4">
        <f t="shared" si="6"/>
        <v>262144</v>
      </c>
      <c r="F39" s="4">
        <f t="shared" si="7"/>
        <v>16777216</v>
      </c>
      <c r="G39" s="4">
        <f t="shared" si="8"/>
        <v>1920</v>
      </c>
      <c r="H39" s="4">
        <f t="shared" si="9"/>
        <v>122880</v>
      </c>
    </row>
    <row r="40" spans="1:8" x14ac:dyDescent="0.2">
      <c r="A40" s="4">
        <v>36</v>
      </c>
      <c r="B40" s="4">
        <v>63</v>
      </c>
      <c r="C40" s="4">
        <v>30</v>
      </c>
      <c r="D40" s="4">
        <f t="shared" si="5"/>
        <v>3969</v>
      </c>
      <c r="E40" s="4">
        <f t="shared" si="6"/>
        <v>250047</v>
      </c>
      <c r="F40" s="4">
        <f t="shared" si="7"/>
        <v>15752961</v>
      </c>
      <c r="G40" s="4">
        <f t="shared" si="8"/>
        <v>1890</v>
      </c>
      <c r="H40" s="4">
        <f t="shared" si="9"/>
        <v>119070</v>
      </c>
    </row>
    <row r="41" spans="1:8" x14ac:dyDescent="0.2">
      <c r="A41" s="4">
        <v>37</v>
      </c>
      <c r="B41" s="4">
        <v>72</v>
      </c>
      <c r="C41" s="4">
        <v>30</v>
      </c>
      <c r="D41" s="4">
        <f t="shared" si="5"/>
        <v>5184</v>
      </c>
      <c r="E41" s="4">
        <f t="shared" si="6"/>
        <v>373248</v>
      </c>
      <c r="F41" s="4">
        <f t="shared" si="7"/>
        <v>26873856</v>
      </c>
      <c r="G41" s="4">
        <f t="shared" si="8"/>
        <v>2160</v>
      </c>
      <c r="H41" s="4">
        <f t="shared" si="9"/>
        <v>155520</v>
      </c>
    </row>
    <row r="42" spans="1:8" x14ac:dyDescent="0.2">
      <c r="A42" s="4">
        <v>38</v>
      </c>
      <c r="B42" s="4">
        <v>73</v>
      </c>
      <c r="C42" s="4">
        <v>30</v>
      </c>
      <c r="D42" s="4">
        <f t="shared" si="5"/>
        <v>5329</v>
      </c>
      <c r="E42" s="4">
        <f t="shared" si="6"/>
        <v>389017</v>
      </c>
      <c r="F42" s="4">
        <f t="shared" si="7"/>
        <v>28398241</v>
      </c>
      <c r="G42" s="4">
        <f t="shared" si="8"/>
        <v>2190</v>
      </c>
      <c r="H42" s="4">
        <f t="shared" si="9"/>
        <v>159870</v>
      </c>
    </row>
    <row r="43" spans="1:8" x14ac:dyDescent="0.2">
      <c r="A43" s="4">
        <v>39</v>
      </c>
      <c r="B43" s="4">
        <v>69</v>
      </c>
      <c r="C43" s="4">
        <v>30</v>
      </c>
      <c r="D43" s="4">
        <f t="shared" si="5"/>
        <v>4761</v>
      </c>
      <c r="E43" s="4">
        <f t="shared" si="6"/>
        <v>328509</v>
      </c>
      <c r="F43" s="4">
        <f t="shared" si="7"/>
        <v>22667121</v>
      </c>
      <c r="G43" s="4">
        <f t="shared" si="8"/>
        <v>2070</v>
      </c>
      <c r="H43" s="4">
        <f t="shared" si="9"/>
        <v>142830</v>
      </c>
    </row>
    <row r="44" spans="1:8" x14ac:dyDescent="0.2">
      <c r="A44" s="4">
        <v>40</v>
      </c>
      <c r="B44" s="4">
        <v>68</v>
      </c>
      <c r="C44" s="4">
        <v>30</v>
      </c>
      <c r="D44" s="4">
        <f t="shared" si="5"/>
        <v>4624</v>
      </c>
      <c r="E44" s="4">
        <f t="shared" si="6"/>
        <v>314432</v>
      </c>
      <c r="F44" s="4">
        <f t="shared" si="7"/>
        <v>21381376</v>
      </c>
      <c r="G44" s="4">
        <f t="shared" si="8"/>
        <v>2040</v>
      </c>
      <c r="H44" s="4">
        <f t="shared" si="9"/>
        <v>138720</v>
      </c>
    </row>
    <row r="45" spans="1:8" x14ac:dyDescent="0.2">
      <c r="A45" s="4">
        <v>41</v>
      </c>
      <c r="B45" s="4">
        <v>67</v>
      </c>
      <c r="C45" s="4">
        <v>30</v>
      </c>
      <c r="D45" s="4">
        <f t="shared" si="5"/>
        <v>4489</v>
      </c>
      <c r="E45" s="4">
        <f t="shared" si="6"/>
        <v>300763</v>
      </c>
      <c r="F45" s="4">
        <f t="shared" si="7"/>
        <v>20151121</v>
      </c>
      <c r="G45" s="4">
        <f t="shared" si="8"/>
        <v>2010</v>
      </c>
      <c r="H45" s="4">
        <f t="shared" si="9"/>
        <v>134670</v>
      </c>
    </row>
    <row r="46" spans="1:8" x14ac:dyDescent="0.2">
      <c r="A46" s="4">
        <v>42</v>
      </c>
      <c r="B46" s="4">
        <v>69</v>
      </c>
      <c r="C46" s="4">
        <v>30</v>
      </c>
      <c r="D46" s="4">
        <f t="shared" si="5"/>
        <v>4761</v>
      </c>
      <c r="E46" s="4">
        <f t="shared" si="6"/>
        <v>328509</v>
      </c>
      <c r="F46" s="4">
        <f t="shared" si="7"/>
        <v>22667121</v>
      </c>
      <c r="G46" s="4">
        <f t="shared" si="8"/>
        <v>2070</v>
      </c>
      <c r="H46" s="4">
        <f t="shared" si="9"/>
        <v>142830</v>
      </c>
    </row>
    <row r="47" spans="1:8" x14ac:dyDescent="0.2">
      <c r="A47" s="4">
        <v>43</v>
      </c>
      <c r="B47" s="4">
        <v>70</v>
      </c>
      <c r="C47" s="4">
        <v>30</v>
      </c>
      <c r="D47" s="4">
        <f t="shared" si="5"/>
        <v>4900</v>
      </c>
      <c r="E47" s="4">
        <f t="shared" si="6"/>
        <v>343000</v>
      </c>
      <c r="F47" s="4">
        <f t="shared" si="7"/>
        <v>24010000</v>
      </c>
      <c r="G47" s="4">
        <f t="shared" si="8"/>
        <v>2100</v>
      </c>
      <c r="H47" s="4">
        <f t="shared" si="9"/>
        <v>147000</v>
      </c>
    </row>
    <row r="48" spans="1:8" x14ac:dyDescent="0.2">
      <c r="A48" s="4">
        <v>44</v>
      </c>
      <c r="B48" s="4">
        <v>68</v>
      </c>
      <c r="C48" s="4">
        <v>30</v>
      </c>
      <c r="D48" s="4">
        <f t="shared" si="5"/>
        <v>4624</v>
      </c>
      <c r="E48" s="4">
        <f t="shared" si="6"/>
        <v>314432</v>
      </c>
      <c r="F48" s="4">
        <f t="shared" si="7"/>
        <v>21381376</v>
      </c>
      <c r="G48" s="4">
        <f t="shared" si="8"/>
        <v>2040</v>
      </c>
      <c r="H48" s="4">
        <f t="shared" si="9"/>
        <v>138720</v>
      </c>
    </row>
    <row r="49" spans="1:8" x14ac:dyDescent="0.2">
      <c r="A49" s="4">
        <v>45</v>
      </c>
      <c r="B49" s="4">
        <v>70</v>
      </c>
      <c r="C49" s="4">
        <v>30</v>
      </c>
      <c r="D49" s="4">
        <f t="shared" si="5"/>
        <v>4900</v>
      </c>
      <c r="E49" s="4">
        <f t="shared" si="6"/>
        <v>343000</v>
      </c>
      <c r="F49" s="4">
        <f t="shared" si="7"/>
        <v>24010000</v>
      </c>
      <c r="G49" s="4">
        <f t="shared" si="8"/>
        <v>2100</v>
      </c>
      <c r="H49" s="4">
        <f t="shared" si="9"/>
        <v>147000</v>
      </c>
    </row>
    <row r="50" spans="1:8" x14ac:dyDescent="0.2">
      <c r="A50" s="4">
        <v>46</v>
      </c>
      <c r="B50" s="4">
        <v>71</v>
      </c>
      <c r="C50" s="4">
        <v>30</v>
      </c>
      <c r="D50" s="4">
        <f t="shared" si="5"/>
        <v>5041</v>
      </c>
      <c r="E50" s="4">
        <f t="shared" si="6"/>
        <v>357911</v>
      </c>
      <c r="F50" s="4">
        <f t="shared" si="7"/>
        <v>25411681</v>
      </c>
      <c r="G50" s="4">
        <f t="shared" si="8"/>
        <v>2130</v>
      </c>
      <c r="H50" s="4">
        <f t="shared" si="9"/>
        <v>151230</v>
      </c>
    </row>
    <row r="51" spans="1:8" x14ac:dyDescent="0.2">
      <c r="A51" s="4">
        <v>47</v>
      </c>
      <c r="B51" s="4">
        <v>72</v>
      </c>
      <c r="C51" s="4">
        <v>30</v>
      </c>
      <c r="D51" s="4">
        <f t="shared" si="5"/>
        <v>5184</v>
      </c>
      <c r="E51" s="4">
        <f t="shared" si="6"/>
        <v>373248</v>
      </c>
      <c r="F51" s="4">
        <f t="shared" si="7"/>
        <v>26873856</v>
      </c>
      <c r="G51" s="4">
        <f t="shared" si="8"/>
        <v>2160</v>
      </c>
      <c r="H51" s="4">
        <f t="shared" si="9"/>
        <v>155520</v>
      </c>
    </row>
    <row r="52" spans="1:8" x14ac:dyDescent="0.2">
      <c r="A52" s="4">
        <v>48</v>
      </c>
      <c r="B52" s="4">
        <v>68</v>
      </c>
      <c r="C52" s="4">
        <v>30</v>
      </c>
      <c r="D52" s="4">
        <f t="shared" si="5"/>
        <v>4624</v>
      </c>
      <c r="E52" s="4">
        <f t="shared" si="6"/>
        <v>314432</v>
      </c>
      <c r="F52" s="4">
        <f t="shared" si="7"/>
        <v>21381376</v>
      </c>
      <c r="G52" s="4">
        <f t="shared" si="8"/>
        <v>2040</v>
      </c>
      <c r="H52" s="4">
        <f t="shared" si="9"/>
        <v>138720</v>
      </c>
    </row>
    <row r="53" spans="1:8" x14ac:dyDescent="0.2">
      <c r="A53" s="4">
        <v>49</v>
      </c>
      <c r="B53" s="4">
        <v>69</v>
      </c>
      <c r="C53" s="4">
        <v>30</v>
      </c>
      <c r="D53" s="4">
        <f t="shared" si="5"/>
        <v>4761</v>
      </c>
      <c r="E53" s="4">
        <f t="shared" si="6"/>
        <v>328509</v>
      </c>
      <c r="F53" s="4">
        <f t="shared" si="7"/>
        <v>22667121</v>
      </c>
      <c r="G53" s="4">
        <f t="shared" si="8"/>
        <v>2070</v>
      </c>
      <c r="H53" s="4">
        <f t="shared" si="9"/>
        <v>142830</v>
      </c>
    </row>
    <row r="54" spans="1:8" x14ac:dyDescent="0.2">
      <c r="A54" s="4">
        <v>50</v>
      </c>
      <c r="B54" s="4">
        <v>70</v>
      </c>
      <c r="C54" s="4">
        <v>30</v>
      </c>
      <c r="D54" s="4">
        <f t="shared" si="5"/>
        <v>4900</v>
      </c>
      <c r="E54" s="4">
        <f t="shared" si="6"/>
        <v>343000</v>
      </c>
      <c r="F54" s="4">
        <f t="shared" si="7"/>
        <v>24010000</v>
      </c>
      <c r="G54" s="4">
        <f t="shared" si="8"/>
        <v>2100</v>
      </c>
      <c r="H54" s="4">
        <f t="shared" si="9"/>
        <v>147000</v>
      </c>
    </row>
    <row r="55" spans="1:8" x14ac:dyDescent="0.2">
      <c r="A55" s="4">
        <v>51</v>
      </c>
      <c r="B55" s="4">
        <v>69</v>
      </c>
      <c r="C55" s="4">
        <v>30</v>
      </c>
      <c r="D55" s="4">
        <f t="shared" si="5"/>
        <v>4761</v>
      </c>
      <c r="E55" s="4">
        <f t="shared" si="6"/>
        <v>328509</v>
      </c>
      <c r="F55" s="4">
        <f t="shared" si="7"/>
        <v>22667121</v>
      </c>
      <c r="G55" s="4">
        <f t="shared" si="8"/>
        <v>2070</v>
      </c>
      <c r="H55" s="4">
        <f t="shared" si="9"/>
        <v>142830</v>
      </c>
    </row>
    <row r="56" spans="1:8" x14ac:dyDescent="0.2">
      <c r="A56" s="4">
        <v>52</v>
      </c>
      <c r="B56" s="4">
        <v>68</v>
      </c>
      <c r="C56" s="4">
        <v>30</v>
      </c>
      <c r="D56" s="4">
        <f t="shared" si="5"/>
        <v>4624</v>
      </c>
      <c r="E56" s="4">
        <f t="shared" si="6"/>
        <v>314432</v>
      </c>
      <c r="F56" s="4">
        <f t="shared" si="7"/>
        <v>21381376</v>
      </c>
      <c r="G56" s="4">
        <f t="shared" si="8"/>
        <v>2040</v>
      </c>
      <c r="H56" s="4">
        <f t="shared" si="9"/>
        <v>138720</v>
      </c>
    </row>
    <row r="57" spans="1:8" x14ac:dyDescent="0.2">
      <c r="A57" s="4">
        <v>53</v>
      </c>
      <c r="B57" s="4">
        <v>73</v>
      </c>
      <c r="C57" s="4">
        <v>35</v>
      </c>
      <c r="D57" s="4">
        <f t="shared" si="5"/>
        <v>5329</v>
      </c>
      <c r="E57" s="4">
        <f t="shared" si="6"/>
        <v>389017</v>
      </c>
      <c r="F57" s="4">
        <f t="shared" si="7"/>
        <v>28398241</v>
      </c>
      <c r="G57" s="4">
        <f t="shared" si="8"/>
        <v>2555</v>
      </c>
      <c r="H57" s="4">
        <f t="shared" si="9"/>
        <v>186515</v>
      </c>
    </row>
    <row r="58" spans="1:8" x14ac:dyDescent="0.2">
      <c r="A58" s="4">
        <v>54</v>
      </c>
      <c r="B58" s="4">
        <v>75</v>
      </c>
      <c r="C58" s="4">
        <v>35</v>
      </c>
      <c r="D58" s="4">
        <f t="shared" si="5"/>
        <v>5625</v>
      </c>
      <c r="E58" s="4">
        <f t="shared" si="6"/>
        <v>421875</v>
      </c>
      <c r="F58" s="4">
        <f t="shared" si="7"/>
        <v>31640625</v>
      </c>
      <c r="G58" s="4">
        <f t="shared" si="8"/>
        <v>2625</v>
      </c>
      <c r="H58" s="4">
        <f t="shared" si="9"/>
        <v>196875</v>
      </c>
    </row>
    <row r="59" spans="1:8" x14ac:dyDescent="0.2">
      <c r="A59" s="4">
        <v>55</v>
      </c>
      <c r="B59" s="4">
        <v>74</v>
      </c>
      <c r="C59" s="4">
        <v>35</v>
      </c>
      <c r="D59" s="4">
        <f t="shared" si="5"/>
        <v>5476</v>
      </c>
      <c r="E59" s="4">
        <f t="shared" si="6"/>
        <v>405224</v>
      </c>
      <c r="F59" s="4">
        <f t="shared" si="7"/>
        <v>29986576</v>
      </c>
      <c r="G59" s="4">
        <f t="shared" si="8"/>
        <v>2590</v>
      </c>
      <c r="H59" s="4">
        <f t="shared" si="9"/>
        <v>191660</v>
      </c>
    </row>
    <row r="60" spans="1:8" x14ac:dyDescent="0.2">
      <c r="A60" s="4">
        <v>56</v>
      </c>
      <c r="B60" s="4">
        <v>72</v>
      </c>
      <c r="C60" s="4">
        <v>35</v>
      </c>
      <c r="D60" s="4">
        <f t="shared" si="5"/>
        <v>5184</v>
      </c>
      <c r="E60" s="4">
        <f t="shared" si="6"/>
        <v>373248</v>
      </c>
      <c r="F60" s="4">
        <f t="shared" si="7"/>
        <v>26873856</v>
      </c>
      <c r="G60" s="4">
        <f t="shared" si="8"/>
        <v>2520</v>
      </c>
      <c r="H60" s="4">
        <f t="shared" si="9"/>
        <v>181440</v>
      </c>
    </row>
    <row r="61" spans="1:8" x14ac:dyDescent="0.2">
      <c r="A61" s="4">
        <v>57</v>
      </c>
      <c r="B61" s="4">
        <v>73</v>
      </c>
      <c r="C61" s="4">
        <v>35</v>
      </c>
      <c r="D61" s="4">
        <f t="shared" si="5"/>
        <v>5329</v>
      </c>
      <c r="E61" s="4">
        <f t="shared" si="6"/>
        <v>389017</v>
      </c>
      <c r="F61" s="4">
        <f t="shared" si="7"/>
        <v>28398241</v>
      </c>
      <c r="G61" s="4">
        <f t="shared" si="8"/>
        <v>2555</v>
      </c>
      <c r="H61" s="4">
        <f t="shared" si="9"/>
        <v>186515</v>
      </c>
    </row>
    <row r="62" spans="1:8" x14ac:dyDescent="0.2">
      <c r="A62" s="4">
        <v>58</v>
      </c>
      <c r="B62" s="4">
        <v>74</v>
      </c>
      <c r="C62" s="4">
        <v>35</v>
      </c>
      <c r="D62" s="4">
        <f t="shared" si="5"/>
        <v>5476</v>
      </c>
      <c r="E62" s="4">
        <f t="shared" si="6"/>
        <v>405224</v>
      </c>
      <c r="F62" s="4">
        <f t="shared" si="7"/>
        <v>29986576</v>
      </c>
      <c r="G62" s="4">
        <f t="shared" si="8"/>
        <v>2590</v>
      </c>
      <c r="H62" s="4">
        <f t="shared" si="9"/>
        <v>191660</v>
      </c>
    </row>
    <row r="63" spans="1:8" x14ac:dyDescent="0.2">
      <c r="A63" s="4">
        <v>59</v>
      </c>
      <c r="B63" s="4">
        <v>74</v>
      </c>
      <c r="C63" s="4">
        <v>35</v>
      </c>
      <c r="D63" s="4">
        <f t="shared" si="5"/>
        <v>5476</v>
      </c>
      <c r="E63" s="4">
        <f t="shared" si="6"/>
        <v>405224</v>
      </c>
      <c r="F63" s="4">
        <f t="shared" si="7"/>
        <v>29986576</v>
      </c>
      <c r="G63" s="4">
        <f t="shared" si="8"/>
        <v>2590</v>
      </c>
      <c r="H63" s="4">
        <f t="shared" si="9"/>
        <v>191660</v>
      </c>
    </row>
    <row r="64" spans="1:8" x14ac:dyDescent="0.2">
      <c r="A64" s="4">
        <v>60</v>
      </c>
      <c r="B64" s="4">
        <v>73</v>
      </c>
      <c r="C64" s="4">
        <v>35</v>
      </c>
      <c r="D64" s="4">
        <f t="shared" si="5"/>
        <v>5329</v>
      </c>
      <c r="E64" s="4">
        <f t="shared" si="6"/>
        <v>389017</v>
      </c>
      <c r="F64" s="4">
        <f t="shared" si="7"/>
        <v>28398241</v>
      </c>
      <c r="G64" s="4">
        <f t="shared" si="8"/>
        <v>2555</v>
      </c>
      <c r="H64" s="4">
        <f t="shared" si="9"/>
        <v>186515</v>
      </c>
    </row>
    <row r="65" spans="1:8" x14ac:dyDescent="0.2">
      <c r="A65" s="4">
        <v>61</v>
      </c>
      <c r="B65" s="4">
        <v>71</v>
      </c>
      <c r="C65" s="4">
        <v>35</v>
      </c>
      <c r="D65" s="4">
        <f t="shared" si="5"/>
        <v>5041</v>
      </c>
      <c r="E65" s="4">
        <f t="shared" si="6"/>
        <v>357911</v>
      </c>
      <c r="F65" s="4">
        <f t="shared" si="7"/>
        <v>25411681</v>
      </c>
      <c r="G65" s="4">
        <f t="shared" si="8"/>
        <v>2485</v>
      </c>
      <c r="H65" s="4">
        <f t="shared" si="9"/>
        <v>176435</v>
      </c>
    </row>
    <row r="66" spans="1:8" x14ac:dyDescent="0.2">
      <c r="A66" s="4">
        <v>62</v>
      </c>
      <c r="B66" s="4">
        <v>70</v>
      </c>
      <c r="C66" s="4">
        <v>35</v>
      </c>
      <c r="D66" s="4">
        <f t="shared" si="5"/>
        <v>4900</v>
      </c>
      <c r="E66" s="4">
        <f t="shared" si="6"/>
        <v>343000</v>
      </c>
      <c r="F66" s="4">
        <f t="shared" si="7"/>
        <v>24010000</v>
      </c>
      <c r="G66" s="4">
        <f t="shared" si="8"/>
        <v>2450</v>
      </c>
      <c r="H66" s="4">
        <f t="shared" si="9"/>
        <v>171500</v>
      </c>
    </row>
    <row r="67" spans="1:8" x14ac:dyDescent="0.2">
      <c r="A67" s="4">
        <v>63</v>
      </c>
      <c r="B67" s="4">
        <v>72</v>
      </c>
      <c r="C67" s="4">
        <v>35</v>
      </c>
      <c r="D67" s="4">
        <f t="shared" si="5"/>
        <v>5184</v>
      </c>
      <c r="E67" s="4">
        <f t="shared" si="6"/>
        <v>373248</v>
      </c>
      <c r="F67" s="4">
        <f t="shared" si="7"/>
        <v>26873856</v>
      </c>
      <c r="G67" s="4">
        <f t="shared" si="8"/>
        <v>2520</v>
      </c>
      <c r="H67" s="4">
        <f t="shared" si="9"/>
        <v>181440</v>
      </c>
    </row>
    <row r="68" spans="1:8" x14ac:dyDescent="0.2">
      <c r="A68" s="4">
        <v>64</v>
      </c>
      <c r="B68" s="4">
        <v>74</v>
      </c>
      <c r="C68" s="4">
        <v>35</v>
      </c>
      <c r="D68" s="4">
        <f t="shared" si="5"/>
        <v>5476</v>
      </c>
      <c r="E68" s="4">
        <f t="shared" si="6"/>
        <v>405224</v>
      </c>
      <c r="F68" s="4">
        <f t="shared" si="7"/>
        <v>29986576</v>
      </c>
      <c r="G68" s="4">
        <f t="shared" si="8"/>
        <v>2590</v>
      </c>
      <c r="H68" s="4">
        <f t="shared" si="9"/>
        <v>191660</v>
      </c>
    </row>
    <row r="69" spans="1:8" x14ac:dyDescent="0.2">
      <c r="A69" s="4">
        <v>65</v>
      </c>
      <c r="B69" s="4">
        <v>73</v>
      </c>
      <c r="C69" s="4">
        <v>35</v>
      </c>
      <c r="D69" s="4">
        <f t="shared" ref="D69:D100" si="10">B69^2</f>
        <v>5329</v>
      </c>
      <c r="E69" s="4">
        <f t="shared" ref="E69:E100" si="11">B69^3</f>
        <v>389017</v>
      </c>
      <c r="F69" s="4">
        <f t="shared" ref="F69:F100" si="12">B69^4</f>
        <v>28398241</v>
      </c>
      <c r="G69" s="4">
        <f t="shared" ref="G69:G100" si="13">B69*C69</f>
        <v>2555</v>
      </c>
      <c r="H69" s="4">
        <f t="shared" ref="H69:H100" si="14">D69*C69</f>
        <v>186515</v>
      </c>
    </row>
    <row r="70" spans="1:8" x14ac:dyDescent="0.2">
      <c r="A70" s="4">
        <v>66</v>
      </c>
      <c r="B70" s="4">
        <v>75</v>
      </c>
      <c r="C70" s="4">
        <v>35</v>
      </c>
      <c r="D70" s="4">
        <f t="shared" si="10"/>
        <v>5625</v>
      </c>
      <c r="E70" s="4">
        <f t="shared" si="11"/>
        <v>421875</v>
      </c>
      <c r="F70" s="4">
        <f t="shared" si="12"/>
        <v>31640625</v>
      </c>
      <c r="G70" s="4">
        <f t="shared" si="13"/>
        <v>2625</v>
      </c>
      <c r="H70" s="4">
        <f t="shared" si="14"/>
        <v>196875</v>
      </c>
    </row>
    <row r="71" spans="1:8" x14ac:dyDescent="0.2">
      <c r="A71" s="4">
        <v>67</v>
      </c>
      <c r="B71" s="4">
        <v>76</v>
      </c>
      <c r="C71" s="4">
        <v>35</v>
      </c>
      <c r="D71" s="4">
        <f t="shared" si="10"/>
        <v>5776</v>
      </c>
      <c r="E71" s="4">
        <f t="shared" si="11"/>
        <v>438976</v>
      </c>
      <c r="F71" s="4">
        <f t="shared" si="12"/>
        <v>33362176</v>
      </c>
      <c r="G71" s="4">
        <f t="shared" si="13"/>
        <v>2660</v>
      </c>
      <c r="H71" s="4">
        <f t="shared" si="14"/>
        <v>202160</v>
      </c>
    </row>
    <row r="72" spans="1:8" x14ac:dyDescent="0.2">
      <c r="A72" s="4">
        <v>68</v>
      </c>
      <c r="B72" s="4">
        <v>73</v>
      </c>
      <c r="C72" s="4">
        <v>35</v>
      </c>
      <c r="D72" s="4">
        <f t="shared" si="10"/>
        <v>5329</v>
      </c>
      <c r="E72" s="4">
        <f t="shared" si="11"/>
        <v>389017</v>
      </c>
      <c r="F72" s="4">
        <f t="shared" si="12"/>
        <v>28398241</v>
      </c>
      <c r="G72" s="4">
        <f t="shared" si="13"/>
        <v>2555</v>
      </c>
      <c r="H72" s="4">
        <f t="shared" si="14"/>
        <v>186515</v>
      </c>
    </row>
    <row r="73" spans="1:8" x14ac:dyDescent="0.2">
      <c r="A73" s="4">
        <v>69</v>
      </c>
      <c r="B73" s="4">
        <v>75</v>
      </c>
      <c r="C73" s="4">
        <v>35</v>
      </c>
      <c r="D73" s="4">
        <f t="shared" si="10"/>
        <v>5625</v>
      </c>
      <c r="E73" s="4">
        <f t="shared" si="11"/>
        <v>421875</v>
      </c>
      <c r="F73" s="4">
        <f t="shared" si="12"/>
        <v>31640625</v>
      </c>
      <c r="G73" s="4">
        <f t="shared" si="13"/>
        <v>2625</v>
      </c>
      <c r="H73" s="4">
        <f t="shared" si="14"/>
        <v>196875</v>
      </c>
    </row>
    <row r="74" spans="1:8" x14ac:dyDescent="0.2">
      <c r="A74" s="4">
        <v>70</v>
      </c>
      <c r="B74" s="4">
        <v>74</v>
      </c>
      <c r="C74" s="4">
        <v>35</v>
      </c>
      <c r="D74" s="4">
        <f t="shared" si="10"/>
        <v>5476</v>
      </c>
      <c r="E74" s="4">
        <f t="shared" si="11"/>
        <v>405224</v>
      </c>
      <c r="F74" s="4">
        <f t="shared" si="12"/>
        <v>29986576</v>
      </c>
      <c r="G74" s="4">
        <f t="shared" si="13"/>
        <v>2590</v>
      </c>
      <c r="H74" s="4">
        <f t="shared" si="14"/>
        <v>191660</v>
      </c>
    </row>
    <row r="75" spans="1:8" x14ac:dyDescent="0.2">
      <c r="A75" s="4">
        <v>71</v>
      </c>
      <c r="B75" s="4">
        <v>75</v>
      </c>
      <c r="C75" s="4">
        <v>35</v>
      </c>
      <c r="D75" s="4">
        <f t="shared" si="10"/>
        <v>5625</v>
      </c>
      <c r="E75" s="4">
        <f t="shared" si="11"/>
        <v>421875</v>
      </c>
      <c r="F75" s="4">
        <f t="shared" si="12"/>
        <v>31640625</v>
      </c>
      <c r="G75" s="4">
        <f t="shared" si="13"/>
        <v>2625</v>
      </c>
      <c r="H75" s="4">
        <f t="shared" si="14"/>
        <v>196875</v>
      </c>
    </row>
    <row r="76" spans="1:8" x14ac:dyDescent="0.2">
      <c r="A76" s="4">
        <v>72</v>
      </c>
      <c r="B76" s="4">
        <v>76</v>
      </c>
      <c r="C76" s="4">
        <v>35</v>
      </c>
      <c r="D76" s="4">
        <f t="shared" si="10"/>
        <v>5776</v>
      </c>
      <c r="E76" s="4">
        <f t="shared" si="11"/>
        <v>438976</v>
      </c>
      <c r="F76" s="4">
        <f t="shared" si="12"/>
        <v>33362176</v>
      </c>
      <c r="G76" s="4">
        <f t="shared" si="13"/>
        <v>2660</v>
      </c>
      <c r="H76" s="4">
        <f t="shared" si="14"/>
        <v>202160</v>
      </c>
    </row>
    <row r="77" spans="1:8" x14ac:dyDescent="0.2">
      <c r="A77" s="4">
        <v>73</v>
      </c>
      <c r="B77" s="4">
        <v>72</v>
      </c>
      <c r="C77" s="4">
        <v>40</v>
      </c>
      <c r="D77" s="4">
        <f t="shared" si="10"/>
        <v>5184</v>
      </c>
      <c r="E77" s="4">
        <f t="shared" si="11"/>
        <v>373248</v>
      </c>
      <c r="F77" s="4">
        <f t="shared" si="12"/>
        <v>26873856</v>
      </c>
      <c r="G77" s="4">
        <f t="shared" si="13"/>
        <v>2880</v>
      </c>
      <c r="H77" s="4">
        <f t="shared" si="14"/>
        <v>207360</v>
      </c>
    </row>
    <row r="78" spans="1:8" x14ac:dyDescent="0.2">
      <c r="A78" s="4">
        <v>74</v>
      </c>
      <c r="B78" s="4">
        <v>80</v>
      </c>
      <c r="C78" s="4">
        <v>40</v>
      </c>
      <c r="D78" s="4">
        <f t="shared" si="10"/>
        <v>6400</v>
      </c>
      <c r="E78" s="4">
        <f t="shared" si="11"/>
        <v>512000</v>
      </c>
      <c r="F78" s="4">
        <f t="shared" si="12"/>
        <v>40960000</v>
      </c>
      <c r="G78" s="4">
        <f t="shared" si="13"/>
        <v>3200</v>
      </c>
      <c r="H78" s="4">
        <f t="shared" si="14"/>
        <v>256000</v>
      </c>
    </row>
    <row r="79" spans="1:8" x14ac:dyDescent="0.2">
      <c r="A79" s="4">
        <v>75</v>
      </c>
      <c r="B79" s="4">
        <v>81</v>
      </c>
      <c r="C79" s="4">
        <v>40</v>
      </c>
      <c r="D79" s="4">
        <f t="shared" si="10"/>
        <v>6561</v>
      </c>
      <c r="E79" s="4">
        <f t="shared" si="11"/>
        <v>531441</v>
      </c>
      <c r="F79" s="4">
        <f t="shared" si="12"/>
        <v>43046721</v>
      </c>
      <c r="G79" s="4">
        <f t="shared" si="13"/>
        <v>3240</v>
      </c>
      <c r="H79" s="4">
        <f t="shared" si="14"/>
        <v>262440</v>
      </c>
    </row>
    <row r="80" spans="1:8" x14ac:dyDescent="0.2">
      <c r="A80" s="4">
        <v>76</v>
      </c>
      <c r="B80" s="4">
        <v>83</v>
      </c>
      <c r="C80" s="4">
        <v>40</v>
      </c>
      <c r="D80" s="4">
        <f t="shared" si="10"/>
        <v>6889</v>
      </c>
      <c r="E80" s="4">
        <f t="shared" si="11"/>
        <v>571787</v>
      </c>
      <c r="F80" s="4">
        <f t="shared" si="12"/>
        <v>47458321</v>
      </c>
      <c r="G80" s="4">
        <f t="shared" si="13"/>
        <v>3320</v>
      </c>
      <c r="H80" s="4">
        <f t="shared" si="14"/>
        <v>275560</v>
      </c>
    </row>
    <row r="81" spans="1:8" x14ac:dyDescent="0.2">
      <c r="A81" s="4">
        <v>77</v>
      </c>
      <c r="B81" s="4">
        <v>85</v>
      </c>
      <c r="C81" s="4">
        <v>40</v>
      </c>
      <c r="D81" s="4">
        <f t="shared" si="10"/>
        <v>7225</v>
      </c>
      <c r="E81" s="4">
        <f t="shared" si="11"/>
        <v>614125</v>
      </c>
      <c r="F81" s="4">
        <f t="shared" si="12"/>
        <v>52200625</v>
      </c>
      <c r="G81" s="4">
        <f t="shared" si="13"/>
        <v>3400</v>
      </c>
      <c r="H81" s="4">
        <f t="shared" si="14"/>
        <v>289000</v>
      </c>
    </row>
    <row r="82" spans="1:8" x14ac:dyDescent="0.2">
      <c r="A82" s="4">
        <v>78</v>
      </c>
      <c r="B82" s="4">
        <v>79</v>
      </c>
      <c r="C82" s="4">
        <v>40</v>
      </c>
      <c r="D82" s="4">
        <f t="shared" si="10"/>
        <v>6241</v>
      </c>
      <c r="E82" s="4">
        <f t="shared" si="11"/>
        <v>493039</v>
      </c>
      <c r="F82" s="4">
        <f t="shared" si="12"/>
        <v>38950081</v>
      </c>
      <c r="G82" s="4">
        <f t="shared" si="13"/>
        <v>3160</v>
      </c>
      <c r="H82" s="4">
        <f t="shared" si="14"/>
        <v>249640</v>
      </c>
    </row>
    <row r="83" spans="1:8" x14ac:dyDescent="0.2">
      <c r="A83" s="4">
        <v>79</v>
      </c>
      <c r="B83" s="4">
        <v>78</v>
      </c>
      <c r="C83" s="4">
        <v>40</v>
      </c>
      <c r="D83" s="4">
        <f t="shared" si="10"/>
        <v>6084</v>
      </c>
      <c r="E83" s="4">
        <f t="shared" si="11"/>
        <v>474552</v>
      </c>
      <c r="F83" s="4">
        <f t="shared" si="12"/>
        <v>37015056</v>
      </c>
      <c r="G83" s="4">
        <f t="shared" si="13"/>
        <v>3120</v>
      </c>
      <c r="H83" s="4">
        <f t="shared" si="14"/>
        <v>243360</v>
      </c>
    </row>
    <row r="84" spans="1:8" x14ac:dyDescent="0.2">
      <c r="A84" s="4">
        <v>80</v>
      </c>
      <c r="B84" s="4">
        <v>76</v>
      </c>
      <c r="C84" s="4">
        <v>40</v>
      </c>
      <c r="D84" s="4">
        <f t="shared" si="10"/>
        <v>5776</v>
      </c>
      <c r="E84" s="4">
        <f t="shared" si="11"/>
        <v>438976</v>
      </c>
      <c r="F84" s="4">
        <f t="shared" si="12"/>
        <v>33362176</v>
      </c>
      <c r="G84" s="4">
        <f t="shared" si="13"/>
        <v>3040</v>
      </c>
      <c r="H84" s="4">
        <f t="shared" si="14"/>
        <v>231040</v>
      </c>
    </row>
    <row r="85" spans="1:8" x14ac:dyDescent="0.2">
      <c r="A85" s="4">
        <v>81</v>
      </c>
      <c r="B85" s="4">
        <v>75</v>
      </c>
      <c r="C85" s="4">
        <v>40</v>
      </c>
      <c r="D85" s="4">
        <f t="shared" si="10"/>
        <v>5625</v>
      </c>
      <c r="E85" s="4">
        <f t="shared" si="11"/>
        <v>421875</v>
      </c>
      <c r="F85" s="4">
        <f t="shared" si="12"/>
        <v>31640625</v>
      </c>
      <c r="G85" s="4">
        <f t="shared" si="13"/>
        <v>3000</v>
      </c>
      <c r="H85" s="4">
        <f t="shared" si="14"/>
        <v>225000</v>
      </c>
    </row>
    <row r="86" spans="1:8" x14ac:dyDescent="0.2">
      <c r="A86" s="4">
        <v>82</v>
      </c>
      <c r="B86" s="4">
        <v>74</v>
      </c>
      <c r="C86" s="4">
        <v>40</v>
      </c>
      <c r="D86" s="4">
        <f t="shared" si="10"/>
        <v>5476</v>
      </c>
      <c r="E86" s="4">
        <f t="shared" si="11"/>
        <v>405224</v>
      </c>
      <c r="F86" s="4">
        <f t="shared" si="12"/>
        <v>29986576</v>
      </c>
      <c r="G86" s="4">
        <f t="shared" si="13"/>
        <v>2960</v>
      </c>
      <c r="H86" s="4">
        <f t="shared" si="14"/>
        <v>219040</v>
      </c>
    </row>
    <row r="87" spans="1:8" x14ac:dyDescent="0.2">
      <c r="A87" s="4">
        <v>83</v>
      </c>
      <c r="B87" s="4">
        <v>79</v>
      </c>
      <c r="C87" s="4">
        <v>40</v>
      </c>
      <c r="D87" s="4">
        <f t="shared" si="10"/>
        <v>6241</v>
      </c>
      <c r="E87" s="4">
        <f t="shared" si="11"/>
        <v>493039</v>
      </c>
      <c r="F87" s="4">
        <f t="shared" si="12"/>
        <v>38950081</v>
      </c>
      <c r="G87" s="4">
        <f t="shared" si="13"/>
        <v>3160</v>
      </c>
      <c r="H87" s="4">
        <f t="shared" si="14"/>
        <v>249640</v>
      </c>
    </row>
    <row r="88" spans="1:8" x14ac:dyDescent="0.2">
      <c r="A88" s="4">
        <v>84</v>
      </c>
      <c r="B88" s="4">
        <v>76</v>
      </c>
      <c r="C88" s="4">
        <v>40</v>
      </c>
      <c r="D88" s="4">
        <f t="shared" si="10"/>
        <v>5776</v>
      </c>
      <c r="E88" s="4">
        <f t="shared" si="11"/>
        <v>438976</v>
      </c>
      <c r="F88" s="4">
        <f t="shared" si="12"/>
        <v>33362176</v>
      </c>
      <c r="G88" s="4">
        <f t="shared" si="13"/>
        <v>3040</v>
      </c>
      <c r="H88" s="4">
        <f t="shared" si="14"/>
        <v>231040</v>
      </c>
    </row>
    <row r="89" spans="1:8" x14ac:dyDescent="0.2">
      <c r="A89" s="4">
        <v>85</v>
      </c>
      <c r="B89" s="4">
        <v>85</v>
      </c>
      <c r="C89" s="4">
        <v>40</v>
      </c>
      <c r="D89" s="4">
        <f t="shared" si="10"/>
        <v>7225</v>
      </c>
      <c r="E89" s="4">
        <f t="shared" si="11"/>
        <v>614125</v>
      </c>
      <c r="F89" s="4">
        <f t="shared" si="12"/>
        <v>52200625</v>
      </c>
      <c r="G89" s="4">
        <f t="shared" si="13"/>
        <v>3400</v>
      </c>
      <c r="H89" s="4">
        <f t="shared" si="14"/>
        <v>289000</v>
      </c>
    </row>
    <row r="90" spans="1:8" x14ac:dyDescent="0.2">
      <c r="A90" s="4">
        <v>86</v>
      </c>
      <c r="B90" s="4">
        <v>84</v>
      </c>
      <c r="C90" s="4">
        <v>40</v>
      </c>
      <c r="D90" s="4">
        <f t="shared" si="10"/>
        <v>7056</v>
      </c>
      <c r="E90" s="4">
        <f t="shared" si="11"/>
        <v>592704</v>
      </c>
      <c r="F90" s="4">
        <f t="shared" si="12"/>
        <v>49787136</v>
      </c>
      <c r="G90" s="4">
        <f t="shared" si="13"/>
        <v>3360</v>
      </c>
      <c r="H90" s="4">
        <f t="shared" si="14"/>
        <v>282240</v>
      </c>
    </row>
    <row r="91" spans="1:8" x14ac:dyDescent="0.2">
      <c r="A91" s="4">
        <v>87</v>
      </c>
      <c r="B91" s="4">
        <v>81</v>
      </c>
      <c r="C91" s="4">
        <v>40</v>
      </c>
      <c r="D91" s="4">
        <f t="shared" si="10"/>
        <v>6561</v>
      </c>
      <c r="E91" s="4">
        <f t="shared" si="11"/>
        <v>531441</v>
      </c>
      <c r="F91" s="4">
        <f t="shared" si="12"/>
        <v>43046721</v>
      </c>
      <c r="G91" s="4">
        <f t="shared" si="13"/>
        <v>3240</v>
      </c>
      <c r="H91" s="4">
        <f t="shared" si="14"/>
        <v>262440</v>
      </c>
    </row>
    <row r="92" spans="1:8" x14ac:dyDescent="0.2">
      <c r="A92" s="4">
        <v>88</v>
      </c>
      <c r="B92" s="4">
        <v>82</v>
      </c>
      <c r="C92" s="4">
        <v>40</v>
      </c>
      <c r="D92" s="4">
        <f t="shared" si="10"/>
        <v>6724</v>
      </c>
      <c r="E92" s="4">
        <f t="shared" si="11"/>
        <v>551368</v>
      </c>
      <c r="F92" s="4">
        <f t="shared" si="12"/>
        <v>45212176</v>
      </c>
      <c r="G92" s="4">
        <f t="shared" si="13"/>
        <v>3280</v>
      </c>
      <c r="H92" s="4">
        <f t="shared" si="14"/>
        <v>268960</v>
      </c>
    </row>
    <row r="93" spans="1:8" x14ac:dyDescent="0.2">
      <c r="A93" s="4">
        <v>89</v>
      </c>
      <c r="B93" s="4">
        <v>80</v>
      </c>
      <c r="C93" s="4">
        <v>40</v>
      </c>
      <c r="D93" s="4">
        <f t="shared" si="10"/>
        <v>6400</v>
      </c>
      <c r="E93" s="4">
        <f t="shared" si="11"/>
        <v>512000</v>
      </c>
      <c r="F93" s="4">
        <f t="shared" si="12"/>
        <v>40960000</v>
      </c>
      <c r="G93" s="4">
        <f t="shared" si="13"/>
        <v>3200</v>
      </c>
      <c r="H93" s="4">
        <f t="shared" si="14"/>
        <v>256000</v>
      </c>
    </row>
    <row r="94" spans="1:8" x14ac:dyDescent="0.2">
      <c r="A94" s="4">
        <v>90</v>
      </c>
      <c r="B94" s="4">
        <v>82</v>
      </c>
      <c r="C94" s="4">
        <v>40</v>
      </c>
      <c r="D94" s="4">
        <f t="shared" si="10"/>
        <v>6724</v>
      </c>
      <c r="E94" s="4">
        <f t="shared" si="11"/>
        <v>551368</v>
      </c>
      <c r="F94" s="4">
        <f t="shared" si="12"/>
        <v>45212176</v>
      </c>
      <c r="G94" s="4">
        <f t="shared" si="13"/>
        <v>3280</v>
      </c>
      <c r="H94" s="4">
        <f t="shared" si="14"/>
        <v>268960</v>
      </c>
    </row>
    <row r="95" spans="1:8" x14ac:dyDescent="0.2">
      <c r="A95" s="4">
        <v>91</v>
      </c>
      <c r="B95" s="4">
        <v>84</v>
      </c>
      <c r="C95" s="4">
        <v>40</v>
      </c>
      <c r="D95" s="4">
        <f t="shared" si="10"/>
        <v>7056</v>
      </c>
      <c r="E95" s="4">
        <f t="shared" si="11"/>
        <v>592704</v>
      </c>
      <c r="F95" s="4">
        <f t="shared" si="12"/>
        <v>49787136</v>
      </c>
      <c r="G95" s="4">
        <f t="shared" si="13"/>
        <v>3360</v>
      </c>
      <c r="H95" s="4">
        <f t="shared" si="14"/>
        <v>282240</v>
      </c>
    </row>
    <row r="96" spans="1:8" x14ac:dyDescent="0.2">
      <c r="A96" s="4">
        <v>92</v>
      </c>
      <c r="B96" s="4">
        <v>85</v>
      </c>
      <c r="C96" s="4">
        <v>40</v>
      </c>
      <c r="D96" s="4">
        <f t="shared" si="10"/>
        <v>7225</v>
      </c>
      <c r="E96" s="4">
        <f t="shared" si="11"/>
        <v>614125</v>
      </c>
      <c r="F96" s="4">
        <f t="shared" si="12"/>
        <v>52200625</v>
      </c>
      <c r="G96" s="4">
        <f t="shared" si="13"/>
        <v>3400</v>
      </c>
      <c r="H96" s="4">
        <f t="shared" si="14"/>
        <v>289000</v>
      </c>
    </row>
    <row r="97" spans="1:8" x14ac:dyDescent="0.2">
      <c r="A97" s="4">
        <v>93</v>
      </c>
      <c r="B97" s="4">
        <v>96</v>
      </c>
      <c r="C97" s="4">
        <v>50</v>
      </c>
      <c r="D97" s="4">
        <f t="shared" si="10"/>
        <v>9216</v>
      </c>
      <c r="E97" s="4">
        <f t="shared" si="11"/>
        <v>884736</v>
      </c>
      <c r="F97" s="4">
        <f t="shared" si="12"/>
        <v>84934656</v>
      </c>
      <c r="G97" s="4">
        <f t="shared" si="13"/>
        <v>4800</v>
      </c>
      <c r="H97" s="4">
        <f t="shared" si="14"/>
        <v>460800</v>
      </c>
    </row>
    <row r="98" spans="1:8" x14ac:dyDescent="0.2">
      <c r="A98" s="4">
        <v>94</v>
      </c>
      <c r="B98" s="4">
        <v>98</v>
      </c>
      <c r="C98" s="4">
        <v>50</v>
      </c>
      <c r="D98" s="4">
        <f t="shared" si="10"/>
        <v>9604</v>
      </c>
      <c r="E98" s="4">
        <f t="shared" si="11"/>
        <v>941192</v>
      </c>
      <c r="F98" s="4">
        <f t="shared" si="12"/>
        <v>92236816</v>
      </c>
      <c r="G98" s="4">
        <f t="shared" si="13"/>
        <v>4900</v>
      </c>
      <c r="H98" s="4">
        <f t="shared" si="14"/>
        <v>480200</v>
      </c>
    </row>
    <row r="99" spans="1:8" x14ac:dyDescent="0.2">
      <c r="A99" s="4">
        <v>95</v>
      </c>
      <c r="B99" s="4">
        <v>97</v>
      </c>
      <c r="C99" s="4">
        <v>50</v>
      </c>
      <c r="D99" s="4">
        <f t="shared" si="10"/>
        <v>9409</v>
      </c>
      <c r="E99" s="4">
        <f t="shared" si="11"/>
        <v>912673</v>
      </c>
      <c r="F99" s="4">
        <f t="shared" si="12"/>
        <v>88529281</v>
      </c>
      <c r="G99" s="4">
        <f t="shared" si="13"/>
        <v>4850</v>
      </c>
      <c r="H99" s="4">
        <f t="shared" si="14"/>
        <v>470450</v>
      </c>
    </row>
    <row r="100" spans="1:8" x14ac:dyDescent="0.2">
      <c r="A100" s="4">
        <v>96</v>
      </c>
      <c r="B100" s="4">
        <v>98</v>
      </c>
      <c r="C100" s="4">
        <v>50</v>
      </c>
      <c r="D100" s="4">
        <f t="shared" si="10"/>
        <v>9604</v>
      </c>
      <c r="E100" s="4">
        <f t="shared" si="11"/>
        <v>941192</v>
      </c>
      <c r="F100" s="4">
        <f t="shared" si="12"/>
        <v>92236816</v>
      </c>
      <c r="G100" s="4">
        <f t="shared" si="13"/>
        <v>4900</v>
      </c>
      <c r="H100" s="4">
        <f t="shared" si="14"/>
        <v>480200</v>
      </c>
    </row>
    <row r="101" spans="1:8" x14ac:dyDescent="0.2">
      <c r="A101" s="4">
        <v>97</v>
      </c>
      <c r="B101" s="4">
        <v>97</v>
      </c>
      <c r="C101" s="4">
        <v>50</v>
      </c>
      <c r="D101" s="4">
        <f t="shared" ref="D101:D112" si="15">B101^2</f>
        <v>9409</v>
      </c>
      <c r="E101" s="4">
        <f t="shared" ref="E101:E112" si="16">B101^3</f>
        <v>912673</v>
      </c>
      <c r="F101" s="4">
        <f t="shared" ref="F101:F112" si="17">B101^4</f>
        <v>88529281</v>
      </c>
      <c r="G101" s="4">
        <f t="shared" ref="G101:G112" si="18">B101*C101</f>
        <v>4850</v>
      </c>
      <c r="H101" s="4">
        <f t="shared" ref="H101:H112" si="19">D101*C101</f>
        <v>470450</v>
      </c>
    </row>
    <row r="102" spans="1:8" x14ac:dyDescent="0.2">
      <c r="A102" s="4">
        <v>98</v>
      </c>
      <c r="B102" s="4">
        <v>99</v>
      </c>
      <c r="C102" s="4">
        <v>50</v>
      </c>
      <c r="D102" s="4">
        <f t="shared" si="15"/>
        <v>9801</v>
      </c>
      <c r="E102" s="4">
        <f t="shared" si="16"/>
        <v>970299</v>
      </c>
      <c r="F102" s="4">
        <f t="shared" si="17"/>
        <v>96059601</v>
      </c>
      <c r="G102" s="4">
        <f t="shared" si="18"/>
        <v>4950</v>
      </c>
      <c r="H102" s="4">
        <f t="shared" si="19"/>
        <v>490050</v>
      </c>
    </row>
    <row r="103" spans="1:8" x14ac:dyDescent="0.2">
      <c r="A103" s="4">
        <v>99</v>
      </c>
      <c r="B103" s="4">
        <v>98</v>
      </c>
      <c r="C103" s="4">
        <v>50</v>
      </c>
      <c r="D103" s="4">
        <f t="shared" si="15"/>
        <v>9604</v>
      </c>
      <c r="E103" s="4">
        <f t="shared" si="16"/>
        <v>941192</v>
      </c>
      <c r="F103" s="4">
        <f t="shared" si="17"/>
        <v>92236816</v>
      </c>
      <c r="G103" s="4">
        <f t="shared" si="18"/>
        <v>4900</v>
      </c>
      <c r="H103" s="4">
        <f t="shared" si="19"/>
        <v>480200</v>
      </c>
    </row>
    <row r="104" spans="1:8" x14ac:dyDescent="0.2">
      <c r="A104" s="4">
        <v>100</v>
      </c>
      <c r="B104" s="4">
        <v>99</v>
      </c>
      <c r="C104" s="4">
        <v>50</v>
      </c>
      <c r="D104" s="4">
        <f t="shared" si="15"/>
        <v>9801</v>
      </c>
      <c r="E104" s="4">
        <f t="shared" si="16"/>
        <v>970299</v>
      </c>
      <c r="F104" s="4">
        <f t="shared" si="17"/>
        <v>96059601</v>
      </c>
      <c r="G104" s="4">
        <f t="shared" si="18"/>
        <v>4950</v>
      </c>
      <c r="H104" s="4">
        <f t="shared" si="19"/>
        <v>490050</v>
      </c>
    </row>
    <row r="105" spans="1:8" x14ac:dyDescent="0.2">
      <c r="A105" s="4">
        <v>101</v>
      </c>
      <c r="B105" s="4">
        <v>98</v>
      </c>
      <c r="C105" s="4">
        <v>50</v>
      </c>
      <c r="D105" s="4">
        <f t="shared" si="15"/>
        <v>9604</v>
      </c>
      <c r="E105" s="4">
        <f t="shared" si="16"/>
        <v>941192</v>
      </c>
      <c r="F105" s="4">
        <f t="shared" si="17"/>
        <v>92236816</v>
      </c>
      <c r="G105" s="4">
        <f t="shared" si="18"/>
        <v>4900</v>
      </c>
      <c r="H105" s="4">
        <f t="shared" si="19"/>
        <v>480200</v>
      </c>
    </row>
    <row r="106" spans="1:8" x14ac:dyDescent="0.2">
      <c r="A106" s="4">
        <v>102</v>
      </c>
      <c r="B106" s="4">
        <v>97</v>
      </c>
      <c r="C106" s="4">
        <v>50</v>
      </c>
      <c r="D106" s="4">
        <f t="shared" si="15"/>
        <v>9409</v>
      </c>
      <c r="E106" s="4">
        <f t="shared" si="16"/>
        <v>912673</v>
      </c>
      <c r="F106" s="4">
        <f t="shared" si="17"/>
        <v>88529281</v>
      </c>
      <c r="G106" s="4">
        <f t="shared" si="18"/>
        <v>4850</v>
      </c>
      <c r="H106" s="4">
        <f t="shared" si="19"/>
        <v>470450</v>
      </c>
    </row>
    <row r="107" spans="1:8" x14ac:dyDescent="0.2">
      <c r="A107" s="4">
        <v>103</v>
      </c>
      <c r="B107" s="4">
        <v>95</v>
      </c>
      <c r="C107" s="4">
        <v>50</v>
      </c>
      <c r="D107" s="4">
        <f t="shared" si="15"/>
        <v>9025</v>
      </c>
      <c r="E107" s="4">
        <f t="shared" si="16"/>
        <v>857375</v>
      </c>
      <c r="F107" s="4">
        <f t="shared" si="17"/>
        <v>81450625</v>
      </c>
      <c r="G107" s="4">
        <f t="shared" si="18"/>
        <v>4750</v>
      </c>
      <c r="H107" s="4">
        <f t="shared" si="19"/>
        <v>451250</v>
      </c>
    </row>
    <row r="108" spans="1:8" x14ac:dyDescent="0.2">
      <c r="A108" s="4">
        <v>104</v>
      </c>
      <c r="B108" s="4">
        <v>96</v>
      </c>
      <c r="C108" s="4">
        <v>50</v>
      </c>
      <c r="D108" s="4">
        <f t="shared" si="15"/>
        <v>9216</v>
      </c>
      <c r="E108" s="4">
        <f t="shared" si="16"/>
        <v>884736</v>
      </c>
      <c r="F108" s="4">
        <f t="shared" si="17"/>
        <v>84934656</v>
      </c>
      <c r="G108" s="4">
        <f t="shared" si="18"/>
        <v>4800</v>
      </c>
      <c r="H108" s="4">
        <f t="shared" si="19"/>
        <v>460800</v>
      </c>
    </row>
    <row r="109" spans="1:8" x14ac:dyDescent="0.2">
      <c r="A109" s="4">
        <v>105</v>
      </c>
      <c r="B109" s="4">
        <v>97</v>
      </c>
      <c r="C109" s="4">
        <v>50</v>
      </c>
      <c r="D109" s="4">
        <f t="shared" si="15"/>
        <v>9409</v>
      </c>
      <c r="E109" s="4">
        <f t="shared" si="16"/>
        <v>912673</v>
      </c>
      <c r="F109" s="4">
        <f t="shared" si="17"/>
        <v>88529281</v>
      </c>
      <c r="G109" s="4">
        <f t="shared" si="18"/>
        <v>4850</v>
      </c>
      <c r="H109" s="4">
        <f t="shared" si="19"/>
        <v>470450</v>
      </c>
    </row>
    <row r="110" spans="1:8" x14ac:dyDescent="0.2">
      <c r="A110" s="4">
        <v>106</v>
      </c>
      <c r="B110" s="4">
        <v>98</v>
      </c>
      <c r="C110" s="4">
        <v>50</v>
      </c>
      <c r="D110" s="4">
        <f t="shared" si="15"/>
        <v>9604</v>
      </c>
      <c r="E110" s="4">
        <f t="shared" si="16"/>
        <v>941192</v>
      </c>
      <c r="F110" s="4">
        <f t="shared" si="17"/>
        <v>92236816</v>
      </c>
      <c r="G110" s="4">
        <f t="shared" si="18"/>
        <v>4900</v>
      </c>
      <c r="H110" s="4">
        <f t="shared" si="19"/>
        <v>480200</v>
      </c>
    </row>
    <row r="111" spans="1:8" x14ac:dyDescent="0.2">
      <c r="A111" s="4">
        <v>107</v>
      </c>
      <c r="B111" s="4">
        <v>98</v>
      </c>
      <c r="C111" s="4">
        <v>50</v>
      </c>
      <c r="D111" s="4">
        <f t="shared" si="15"/>
        <v>9604</v>
      </c>
      <c r="E111" s="4">
        <f t="shared" si="16"/>
        <v>941192</v>
      </c>
      <c r="F111" s="4">
        <f t="shared" si="17"/>
        <v>92236816</v>
      </c>
      <c r="G111" s="4">
        <f t="shared" si="18"/>
        <v>4900</v>
      </c>
      <c r="H111" s="4">
        <f t="shared" si="19"/>
        <v>480200</v>
      </c>
    </row>
    <row r="112" spans="1:8" x14ac:dyDescent="0.2">
      <c r="A112" s="4">
        <v>108</v>
      </c>
      <c r="B112" s="4">
        <v>97</v>
      </c>
      <c r="C112" s="4">
        <v>50</v>
      </c>
      <c r="D112" s="4">
        <f t="shared" si="15"/>
        <v>9409</v>
      </c>
      <c r="E112" s="4">
        <f t="shared" si="16"/>
        <v>912673</v>
      </c>
      <c r="F112" s="4">
        <f t="shared" si="17"/>
        <v>88529281</v>
      </c>
      <c r="G112" s="4">
        <f t="shared" si="18"/>
        <v>4850</v>
      </c>
      <c r="H112" s="4">
        <f t="shared" si="19"/>
        <v>470450</v>
      </c>
    </row>
    <row r="113" spans="1:8" x14ac:dyDescent="0.2">
      <c r="A113" s="7" t="s">
        <v>16</v>
      </c>
      <c r="B113" s="7">
        <f t="shared" ref="B113:H113" si="20">SUM(B5:B112)</f>
        <v>7846</v>
      </c>
      <c r="C113" s="7">
        <f t="shared" si="20"/>
        <v>3640</v>
      </c>
      <c r="D113" s="7">
        <f t="shared" si="20"/>
        <v>589814</v>
      </c>
      <c r="E113" s="7">
        <f t="shared" si="20"/>
        <v>45832864</v>
      </c>
      <c r="F113" s="7">
        <f t="shared" si="20"/>
        <v>3675416882</v>
      </c>
      <c r="G113" s="7">
        <f t="shared" si="20"/>
        <v>277615</v>
      </c>
      <c r="H113" s="7">
        <f t="shared" si="20"/>
        <v>21861985</v>
      </c>
    </row>
    <row r="116" spans="1:8" x14ac:dyDescent="0.2">
      <c r="A116" s="6" t="s">
        <v>17</v>
      </c>
    </row>
    <row r="117" spans="1:8" x14ac:dyDescent="0.2">
      <c r="A117" s="6" t="s">
        <v>18</v>
      </c>
      <c r="B117">
        <f>((B2*G113)-(B113*C113)) / ((B2*D113)-(B113^2))</f>
        <v>0.6648830294047835</v>
      </c>
    </row>
    <row r="118" spans="1:8" x14ac:dyDescent="0.2">
      <c r="A118" s="6" t="s">
        <v>19</v>
      </c>
      <c r="B118">
        <f>(C113-B117*B113)/B2</f>
        <v>-14.59881711768455</v>
      </c>
    </row>
    <row r="121" spans="1:8" x14ac:dyDescent="0.2">
      <c r="A121" s="6" t="s">
        <v>20</v>
      </c>
    </row>
    <row r="122" spans="1:8" x14ac:dyDescent="0.2">
      <c r="A122" s="6" t="s">
        <v>21</v>
      </c>
    </row>
    <row r="123" spans="1:8" x14ac:dyDescent="0.2">
      <c r="B123" s="8" t="s">
        <v>7</v>
      </c>
      <c r="C123" s="8" t="s">
        <v>22</v>
      </c>
      <c r="D123" s="8" t="s">
        <v>23</v>
      </c>
      <c r="F123" s="6" t="s">
        <v>24</v>
      </c>
    </row>
    <row r="124" spans="1:8" x14ac:dyDescent="0.2">
      <c r="A124" t="s">
        <v>25</v>
      </c>
      <c r="B124">
        <f>B2</f>
        <v>108</v>
      </c>
      <c r="C124">
        <f>B113</f>
        <v>7846</v>
      </c>
      <c r="D124">
        <f>D113</f>
        <v>589814</v>
      </c>
      <c r="F124">
        <f>C113</f>
        <v>3640</v>
      </c>
    </row>
    <row r="125" spans="1:8" x14ac:dyDescent="0.2">
      <c r="A125" t="s">
        <v>26</v>
      </c>
      <c r="B125">
        <f>B113</f>
        <v>7846</v>
      </c>
      <c r="C125">
        <f>D113</f>
        <v>589814</v>
      </c>
      <c r="D125">
        <f>E113</f>
        <v>45832864</v>
      </c>
      <c r="F125">
        <f>G113</f>
        <v>277615</v>
      </c>
    </row>
    <row r="126" spans="1:8" x14ac:dyDescent="0.2">
      <c r="A126" t="s">
        <v>27</v>
      </c>
      <c r="B126">
        <f>D113</f>
        <v>589814</v>
      </c>
      <c r="C126">
        <f>E113</f>
        <v>45832864</v>
      </c>
      <c r="D126">
        <f>F113</f>
        <v>3675416882</v>
      </c>
      <c r="F126">
        <f>H113</f>
        <v>21861985</v>
      </c>
    </row>
    <row r="128" spans="1:8" x14ac:dyDescent="0.2">
      <c r="A128" s="6" t="s">
        <v>28</v>
      </c>
    </row>
    <row r="129" spans="1:2" x14ac:dyDescent="0.2">
      <c r="A129" s="6" t="s">
        <v>29</v>
      </c>
      <c r="B129">
        <f>INDEX(MMULT(MINVERSE(B124:D126),F124:F126),1,1)</f>
        <v>-15.61327034342321</v>
      </c>
    </row>
    <row r="130" spans="1:2" x14ac:dyDescent="0.2">
      <c r="A130" s="6" t="s">
        <v>30</v>
      </c>
      <c r="B130">
        <f>INDEX(MMULT(MINVERSE(B124:D126),F124:F126),2,1)</f>
        <v>0.69276803479010596</v>
      </c>
    </row>
    <row r="131" spans="1:2" x14ac:dyDescent="0.2">
      <c r="A131" s="6" t="s">
        <v>31</v>
      </c>
      <c r="B131">
        <f>INDEX(MMULT(MINVERSE(B124:D126),F124:F126),3,1)</f>
        <v>-1.8518516663679208E-4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7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45</v>
      </c>
    </row>
    <row r="2" spans="1:8" x14ac:dyDescent="0.2">
      <c r="A2" s="6" t="s">
        <v>7</v>
      </c>
      <c r="B2">
        <v>84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101</v>
      </c>
      <c r="C5" s="4">
        <v>50</v>
      </c>
      <c r="D5" s="4">
        <f t="shared" ref="D5:D36" si="0">B5^2</f>
        <v>10201</v>
      </c>
      <c r="E5" s="4">
        <f t="shared" ref="E5:E36" si="1">B5^3</f>
        <v>1030301</v>
      </c>
      <c r="F5" s="4">
        <f t="shared" ref="F5:F36" si="2">B5^4</f>
        <v>104060401</v>
      </c>
      <c r="G5" s="4">
        <f t="shared" ref="G5:G36" si="3">B5*C5</f>
        <v>5050</v>
      </c>
      <c r="H5" s="4">
        <f t="shared" ref="H5:H36" si="4">D5*C5</f>
        <v>510050</v>
      </c>
    </row>
    <row r="6" spans="1:8" x14ac:dyDescent="0.2">
      <c r="A6" s="4">
        <v>2</v>
      </c>
      <c r="B6" s="4">
        <v>103</v>
      </c>
      <c r="C6" s="4">
        <v>50</v>
      </c>
      <c r="D6" s="4">
        <f t="shared" si="0"/>
        <v>10609</v>
      </c>
      <c r="E6" s="4">
        <f t="shared" si="1"/>
        <v>1092727</v>
      </c>
      <c r="F6" s="4">
        <f t="shared" si="2"/>
        <v>112550881</v>
      </c>
      <c r="G6" s="4">
        <f t="shared" si="3"/>
        <v>5150</v>
      </c>
      <c r="H6" s="4">
        <f t="shared" si="4"/>
        <v>530450</v>
      </c>
    </row>
    <row r="7" spans="1:8" x14ac:dyDescent="0.2">
      <c r="A7" s="4">
        <v>3</v>
      </c>
      <c r="B7" s="4">
        <v>100</v>
      </c>
      <c r="C7" s="4">
        <v>50</v>
      </c>
      <c r="D7" s="4">
        <f t="shared" si="0"/>
        <v>10000</v>
      </c>
      <c r="E7" s="4">
        <f t="shared" si="1"/>
        <v>1000000</v>
      </c>
      <c r="F7" s="4">
        <f t="shared" si="2"/>
        <v>100000000</v>
      </c>
      <c r="G7" s="4">
        <f t="shared" si="3"/>
        <v>5000</v>
      </c>
      <c r="H7" s="4">
        <f t="shared" si="4"/>
        <v>500000</v>
      </c>
    </row>
    <row r="8" spans="1:8" x14ac:dyDescent="0.2">
      <c r="A8" s="4">
        <v>4</v>
      </c>
      <c r="B8" s="4">
        <v>102</v>
      </c>
      <c r="C8" s="4">
        <v>50</v>
      </c>
      <c r="D8" s="4">
        <f t="shared" si="0"/>
        <v>10404</v>
      </c>
      <c r="E8" s="4">
        <f t="shared" si="1"/>
        <v>1061208</v>
      </c>
      <c r="F8" s="4">
        <f t="shared" si="2"/>
        <v>108243216</v>
      </c>
      <c r="G8" s="4">
        <f t="shared" si="3"/>
        <v>5100</v>
      </c>
      <c r="H8" s="4">
        <f t="shared" si="4"/>
        <v>520200</v>
      </c>
    </row>
    <row r="9" spans="1:8" x14ac:dyDescent="0.2">
      <c r="A9" s="4">
        <v>5</v>
      </c>
      <c r="B9" s="4">
        <v>107</v>
      </c>
      <c r="C9" s="4">
        <v>70</v>
      </c>
      <c r="D9" s="4">
        <f t="shared" si="0"/>
        <v>11449</v>
      </c>
      <c r="E9" s="4">
        <f t="shared" si="1"/>
        <v>1225043</v>
      </c>
      <c r="F9" s="4">
        <f t="shared" si="2"/>
        <v>131079601</v>
      </c>
      <c r="G9" s="4">
        <f t="shared" si="3"/>
        <v>7490</v>
      </c>
      <c r="H9" s="4">
        <f t="shared" si="4"/>
        <v>801430</v>
      </c>
    </row>
    <row r="10" spans="1:8" x14ac:dyDescent="0.2">
      <c r="A10" s="4">
        <v>6</v>
      </c>
      <c r="B10" s="4">
        <v>105</v>
      </c>
      <c r="C10" s="4">
        <v>70</v>
      </c>
      <c r="D10" s="4">
        <f t="shared" si="0"/>
        <v>11025</v>
      </c>
      <c r="E10" s="4">
        <f t="shared" si="1"/>
        <v>1157625</v>
      </c>
      <c r="F10" s="4">
        <f t="shared" si="2"/>
        <v>121550625</v>
      </c>
      <c r="G10" s="4">
        <f t="shared" si="3"/>
        <v>7350</v>
      </c>
      <c r="H10" s="4">
        <f t="shared" si="4"/>
        <v>771750</v>
      </c>
    </row>
    <row r="11" spans="1:8" x14ac:dyDescent="0.2">
      <c r="A11" s="4">
        <v>7</v>
      </c>
      <c r="B11" s="4">
        <v>103</v>
      </c>
      <c r="C11" s="4">
        <v>70</v>
      </c>
      <c r="D11" s="4">
        <f t="shared" si="0"/>
        <v>10609</v>
      </c>
      <c r="E11" s="4">
        <f t="shared" si="1"/>
        <v>1092727</v>
      </c>
      <c r="F11" s="4">
        <f t="shared" si="2"/>
        <v>112550881</v>
      </c>
      <c r="G11" s="4">
        <f t="shared" si="3"/>
        <v>7210</v>
      </c>
      <c r="H11" s="4">
        <f t="shared" si="4"/>
        <v>742630</v>
      </c>
    </row>
    <row r="12" spans="1:8" x14ac:dyDescent="0.2">
      <c r="A12" s="4">
        <v>8</v>
      </c>
      <c r="B12" s="4">
        <v>117</v>
      </c>
      <c r="C12" s="4">
        <v>70</v>
      </c>
      <c r="D12" s="4">
        <f t="shared" si="0"/>
        <v>13689</v>
      </c>
      <c r="E12" s="4">
        <f t="shared" si="1"/>
        <v>1601613</v>
      </c>
      <c r="F12" s="4">
        <f t="shared" si="2"/>
        <v>187388721</v>
      </c>
      <c r="G12" s="4">
        <f t="shared" si="3"/>
        <v>8190</v>
      </c>
      <c r="H12" s="4">
        <f t="shared" si="4"/>
        <v>958230</v>
      </c>
    </row>
    <row r="13" spans="1:8" x14ac:dyDescent="0.2">
      <c r="A13" s="4">
        <v>9</v>
      </c>
      <c r="B13" s="4">
        <v>118</v>
      </c>
      <c r="C13" s="4">
        <v>70</v>
      </c>
      <c r="D13" s="4">
        <f t="shared" si="0"/>
        <v>13924</v>
      </c>
      <c r="E13" s="4">
        <f t="shared" si="1"/>
        <v>1643032</v>
      </c>
      <c r="F13" s="4">
        <f t="shared" si="2"/>
        <v>193877776</v>
      </c>
      <c r="G13" s="4">
        <f t="shared" si="3"/>
        <v>8260</v>
      </c>
      <c r="H13" s="4">
        <f t="shared" si="4"/>
        <v>974680</v>
      </c>
    </row>
    <row r="14" spans="1:8" x14ac:dyDescent="0.2">
      <c r="A14" s="4">
        <v>10</v>
      </c>
      <c r="B14" s="4">
        <v>113</v>
      </c>
      <c r="C14" s="4">
        <v>70</v>
      </c>
      <c r="D14" s="4">
        <f t="shared" si="0"/>
        <v>12769</v>
      </c>
      <c r="E14" s="4">
        <f t="shared" si="1"/>
        <v>1442897</v>
      </c>
      <c r="F14" s="4">
        <f t="shared" si="2"/>
        <v>163047361</v>
      </c>
      <c r="G14" s="4">
        <f t="shared" si="3"/>
        <v>7910</v>
      </c>
      <c r="H14" s="4">
        <f t="shared" si="4"/>
        <v>893830</v>
      </c>
    </row>
    <row r="15" spans="1:8" x14ac:dyDescent="0.2">
      <c r="A15" s="4">
        <v>11</v>
      </c>
      <c r="B15" s="4">
        <v>109</v>
      </c>
      <c r="C15" s="4">
        <v>70</v>
      </c>
      <c r="D15" s="4">
        <f t="shared" si="0"/>
        <v>11881</v>
      </c>
      <c r="E15" s="4">
        <f t="shared" si="1"/>
        <v>1295029</v>
      </c>
      <c r="F15" s="4">
        <f t="shared" si="2"/>
        <v>141158161</v>
      </c>
      <c r="G15" s="4">
        <f t="shared" si="3"/>
        <v>7630</v>
      </c>
      <c r="H15" s="4">
        <f t="shared" si="4"/>
        <v>831670</v>
      </c>
    </row>
    <row r="16" spans="1:8" x14ac:dyDescent="0.2">
      <c r="A16" s="4">
        <v>12</v>
      </c>
      <c r="B16" s="4">
        <v>110</v>
      </c>
      <c r="C16" s="4">
        <v>70</v>
      </c>
      <c r="D16" s="4">
        <f t="shared" si="0"/>
        <v>12100</v>
      </c>
      <c r="E16" s="4">
        <f t="shared" si="1"/>
        <v>1331000</v>
      </c>
      <c r="F16" s="4">
        <f t="shared" si="2"/>
        <v>146410000</v>
      </c>
      <c r="G16" s="4">
        <f t="shared" si="3"/>
        <v>7700</v>
      </c>
      <c r="H16" s="4">
        <f t="shared" si="4"/>
        <v>847000</v>
      </c>
    </row>
    <row r="17" spans="1:8" x14ac:dyDescent="0.2">
      <c r="A17" s="4">
        <v>13</v>
      </c>
      <c r="B17" s="4">
        <v>118</v>
      </c>
      <c r="C17" s="4">
        <v>70</v>
      </c>
      <c r="D17" s="4">
        <f t="shared" si="0"/>
        <v>13924</v>
      </c>
      <c r="E17" s="4">
        <f t="shared" si="1"/>
        <v>1643032</v>
      </c>
      <c r="F17" s="4">
        <f t="shared" si="2"/>
        <v>193877776</v>
      </c>
      <c r="G17" s="4">
        <f t="shared" si="3"/>
        <v>8260</v>
      </c>
      <c r="H17" s="4">
        <f t="shared" si="4"/>
        <v>974680</v>
      </c>
    </row>
    <row r="18" spans="1:8" x14ac:dyDescent="0.2">
      <c r="A18" s="4">
        <v>14</v>
      </c>
      <c r="B18" s="4">
        <v>115</v>
      </c>
      <c r="C18" s="4">
        <v>70</v>
      </c>
      <c r="D18" s="4">
        <f t="shared" si="0"/>
        <v>13225</v>
      </c>
      <c r="E18" s="4">
        <f t="shared" si="1"/>
        <v>1520875</v>
      </c>
      <c r="F18" s="4">
        <f t="shared" si="2"/>
        <v>174900625</v>
      </c>
      <c r="G18" s="4">
        <f t="shared" si="3"/>
        <v>8050</v>
      </c>
      <c r="H18" s="4">
        <f t="shared" si="4"/>
        <v>925750</v>
      </c>
    </row>
    <row r="19" spans="1:8" x14ac:dyDescent="0.2">
      <c r="A19" s="4">
        <v>15</v>
      </c>
      <c r="B19" s="4">
        <v>110</v>
      </c>
      <c r="C19" s="4">
        <v>70</v>
      </c>
      <c r="D19" s="4">
        <f t="shared" si="0"/>
        <v>12100</v>
      </c>
      <c r="E19" s="4">
        <f t="shared" si="1"/>
        <v>1331000</v>
      </c>
      <c r="F19" s="4">
        <f t="shared" si="2"/>
        <v>146410000</v>
      </c>
      <c r="G19" s="4">
        <f t="shared" si="3"/>
        <v>7700</v>
      </c>
      <c r="H19" s="4">
        <f t="shared" si="4"/>
        <v>847000</v>
      </c>
    </row>
    <row r="20" spans="1:8" x14ac:dyDescent="0.2">
      <c r="A20" s="4">
        <v>16</v>
      </c>
      <c r="B20" s="4">
        <v>113</v>
      </c>
      <c r="C20" s="4">
        <v>70</v>
      </c>
      <c r="D20" s="4">
        <f t="shared" si="0"/>
        <v>12769</v>
      </c>
      <c r="E20" s="4">
        <f t="shared" si="1"/>
        <v>1442897</v>
      </c>
      <c r="F20" s="4">
        <f t="shared" si="2"/>
        <v>163047361</v>
      </c>
      <c r="G20" s="4">
        <f t="shared" si="3"/>
        <v>7910</v>
      </c>
      <c r="H20" s="4">
        <f t="shared" si="4"/>
        <v>893830</v>
      </c>
    </row>
    <row r="21" spans="1:8" x14ac:dyDescent="0.2">
      <c r="A21" s="4">
        <v>17</v>
      </c>
      <c r="B21" s="4">
        <v>112</v>
      </c>
      <c r="C21" s="4">
        <v>70</v>
      </c>
      <c r="D21" s="4">
        <f t="shared" si="0"/>
        <v>12544</v>
      </c>
      <c r="E21" s="4">
        <f t="shared" si="1"/>
        <v>1404928</v>
      </c>
      <c r="F21" s="4">
        <f t="shared" si="2"/>
        <v>157351936</v>
      </c>
      <c r="G21" s="4">
        <f t="shared" si="3"/>
        <v>7840</v>
      </c>
      <c r="H21" s="4">
        <f t="shared" si="4"/>
        <v>878080</v>
      </c>
    </row>
    <row r="22" spans="1:8" x14ac:dyDescent="0.2">
      <c r="A22" s="4">
        <v>18</v>
      </c>
      <c r="B22" s="4">
        <v>109</v>
      </c>
      <c r="C22" s="4">
        <v>70</v>
      </c>
      <c r="D22" s="4">
        <f t="shared" si="0"/>
        <v>11881</v>
      </c>
      <c r="E22" s="4">
        <f t="shared" si="1"/>
        <v>1295029</v>
      </c>
      <c r="F22" s="4">
        <f t="shared" si="2"/>
        <v>141158161</v>
      </c>
      <c r="G22" s="4">
        <f t="shared" si="3"/>
        <v>7630</v>
      </c>
      <c r="H22" s="4">
        <f t="shared" si="4"/>
        <v>831670</v>
      </c>
    </row>
    <row r="23" spans="1:8" x14ac:dyDescent="0.2">
      <c r="A23" s="4">
        <v>19</v>
      </c>
      <c r="B23" s="4">
        <v>107</v>
      </c>
      <c r="C23" s="4">
        <v>70</v>
      </c>
      <c r="D23" s="4">
        <f t="shared" si="0"/>
        <v>11449</v>
      </c>
      <c r="E23" s="4">
        <f t="shared" si="1"/>
        <v>1225043</v>
      </c>
      <c r="F23" s="4">
        <f t="shared" si="2"/>
        <v>131079601</v>
      </c>
      <c r="G23" s="4">
        <f t="shared" si="3"/>
        <v>7490</v>
      </c>
      <c r="H23" s="4">
        <f t="shared" si="4"/>
        <v>801430</v>
      </c>
    </row>
    <row r="24" spans="1:8" x14ac:dyDescent="0.2">
      <c r="A24" s="4">
        <v>20</v>
      </c>
      <c r="B24" s="4">
        <v>111</v>
      </c>
      <c r="C24" s="4">
        <v>70</v>
      </c>
      <c r="D24" s="4">
        <f t="shared" si="0"/>
        <v>12321</v>
      </c>
      <c r="E24" s="4">
        <f t="shared" si="1"/>
        <v>1367631</v>
      </c>
      <c r="F24" s="4">
        <f t="shared" si="2"/>
        <v>151807041</v>
      </c>
      <c r="G24" s="4">
        <f t="shared" si="3"/>
        <v>7770</v>
      </c>
      <c r="H24" s="4">
        <f t="shared" si="4"/>
        <v>862470</v>
      </c>
    </row>
    <row r="25" spans="1:8" x14ac:dyDescent="0.2">
      <c r="A25" s="4">
        <v>21</v>
      </c>
      <c r="B25" s="4">
        <v>108</v>
      </c>
      <c r="C25" s="4">
        <v>70</v>
      </c>
      <c r="D25" s="4">
        <f t="shared" si="0"/>
        <v>11664</v>
      </c>
      <c r="E25" s="4">
        <f t="shared" si="1"/>
        <v>1259712</v>
      </c>
      <c r="F25" s="4">
        <f t="shared" si="2"/>
        <v>136048896</v>
      </c>
      <c r="G25" s="4">
        <f t="shared" si="3"/>
        <v>7560</v>
      </c>
      <c r="H25" s="4">
        <f t="shared" si="4"/>
        <v>816480</v>
      </c>
    </row>
    <row r="26" spans="1:8" x14ac:dyDescent="0.2">
      <c r="A26" s="4">
        <v>22</v>
      </c>
      <c r="B26" s="4">
        <v>112</v>
      </c>
      <c r="C26" s="4">
        <v>70</v>
      </c>
      <c r="D26" s="4">
        <f t="shared" si="0"/>
        <v>12544</v>
      </c>
      <c r="E26" s="4">
        <f t="shared" si="1"/>
        <v>1404928</v>
      </c>
      <c r="F26" s="4">
        <f t="shared" si="2"/>
        <v>157351936</v>
      </c>
      <c r="G26" s="4">
        <f t="shared" si="3"/>
        <v>7840</v>
      </c>
      <c r="H26" s="4">
        <f t="shared" si="4"/>
        <v>878080</v>
      </c>
    </row>
    <row r="27" spans="1:8" x14ac:dyDescent="0.2">
      <c r="A27" s="4">
        <v>23</v>
      </c>
      <c r="B27" s="4">
        <v>109</v>
      </c>
      <c r="C27" s="4">
        <v>70</v>
      </c>
      <c r="D27" s="4">
        <f t="shared" si="0"/>
        <v>11881</v>
      </c>
      <c r="E27" s="4">
        <f t="shared" si="1"/>
        <v>1295029</v>
      </c>
      <c r="F27" s="4">
        <f t="shared" si="2"/>
        <v>141158161</v>
      </c>
      <c r="G27" s="4">
        <f t="shared" si="3"/>
        <v>7630</v>
      </c>
      <c r="H27" s="4">
        <f t="shared" si="4"/>
        <v>831670</v>
      </c>
    </row>
    <row r="28" spans="1:8" x14ac:dyDescent="0.2">
      <c r="A28" s="4">
        <v>24</v>
      </c>
      <c r="B28" s="4">
        <v>105</v>
      </c>
      <c r="C28" s="4">
        <v>70</v>
      </c>
      <c r="D28" s="4">
        <f t="shared" si="0"/>
        <v>11025</v>
      </c>
      <c r="E28" s="4">
        <f t="shared" si="1"/>
        <v>1157625</v>
      </c>
      <c r="F28" s="4">
        <f t="shared" si="2"/>
        <v>121550625</v>
      </c>
      <c r="G28" s="4">
        <f t="shared" si="3"/>
        <v>7350</v>
      </c>
      <c r="H28" s="4">
        <f t="shared" si="4"/>
        <v>771750</v>
      </c>
    </row>
    <row r="29" spans="1:8" x14ac:dyDescent="0.2">
      <c r="A29" s="4">
        <v>25</v>
      </c>
      <c r="B29" s="4">
        <v>149</v>
      </c>
      <c r="C29" s="4">
        <v>100</v>
      </c>
      <c r="D29" s="4">
        <f t="shared" si="0"/>
        <v>22201</v>
      </c>
      <c r="E29" s="4">
        <f t="shared" si="1"/>
        <v>3307949</v>
      </c>
      <c r="F29" s="4">
        <f t="shared" si="2"/>
        <v>492884401</v>
      </c>
      <c r="G29" s="4">
        <f t="shared" si="3"/>
        <v>14900</v>
      </c>
      <c r="H29" s="4">
        <f t="shared" si="4"/>
        <v>2220100</v>
      </c>
    </row>
    <row r="30" spans="1:8" x14ac:dyDescent="0.2">
      <c r="A30" s="4">
        <v>26</v>
      </c>
      <c r="B30" s="4">
        <v>144</v>
      </c>
      <c r="C30" s="4">
        <v>100</v>
      </c>
      <c r="D30" s="4">
        <f t="shared" si="0"/>
        <v>20736</v>
      </c>
      <c r="E30" s="4">
        <f t="shared" si="1"/>
        <v>2985984</v>
      </c>
      <c r="F30" s="4">
        <f t="shared" si="2"/>
        <v>429981696</v>
      </c>
      <c r="G30" s="4">
        <f t="shared" si="3"/>
        <v>14400</v>
      </c>
      <c r="H30" s="4">
        <f t="shared" si="4"/>
        <v>2073600</v>
      </c>
    </row>
    <row r="31" spans="1:8" x14ac:dyDescent="0.2">
      <c r="A31" s="4">
        <v>27</v>
      </c>
      <c r="B31" s="4">
        <v>138</v>
      </c>
      <c r="C31" s="4">
        <v>100</v>
      </c>
      <c r="D31" s="4">
        <f t="shared" si="0"/>
        <v>19044</v>
      </c>
      <c r="E31" s="4">
        <f t="shared" si="1"/>
        <v>2628072</v>
      </c>
      <c r="F31" s="4">
        <f t="shared" si="2"/>
        <v>362673936</v>
      </c>
      <c r="G31" s="4">
        <f t="shared" si="3"/>
        <v>13800</v>
      </c>
      <c r="H31" s="4">
        <f t="shared" si="4"/>
        <v>1904400</v>
      </c>
    </row>
    <row r="32" spans="1:8" x14ac:dyDescent="0.2">
      <c r="A32" s="4">
        <v>28</v>
      </c>
      <c r="B32" s="4">
        <v>140</v>
      </c>
      <c r="C32" s="4">
        <v>100</v>
      </c>
      <c r="D32" s="4">
        <f t="shared" si="0"/>
        <v>19600</v>
      </c>
      <c r="E32" s="4">
        <f t="shared" si="1"/>
        <v>2744000</v>
      </c>
      <c r="F32" s="4">
        <f t="shared" si="2"/>
        <v>384160000</v>
      </c>
      <c r="G32" s="4">
        <f t="shared" si="3"/>
        <v>14000</v>
      </c>
      <c r="H32" s="4">
        <f t="shared" si="4"/>
        <v>1960000</v>
      </c>
    </row>
    <row r="33" spans="1:8" x14ac:dyDescent="0.2">
      <c r="A33" s="4">
        <v>29</v>
      </c>
      <c r="B33" s="4">
        <v>147</v>
      </c>
      <c r="C33" s="4">
        <v>100</v>
      </c>
      <c r="D33" s="4">
        <f t="shared" si="0"/>
        <v>21609</v>
      </c>
      <c r="E33" s="4">
        <f t="shared" si="1"/>
        <v>3176523</v>
      </c>
      <c r="F33" s="4">
        <f t="shared" si="2"/>
        <v>466948881</v>
      </c>
      <c r="G33" s="4">
        <f t="shared" si="3"/>
        <v>14700</v>
      </c>
      <c r="H33" s="4">
        <f t="shared" si="4"/>
        <v>2160900</v>
      </c>
    </row>
    <row r="34" spans="1:8" x14ac:dyDescent="0.2">
      <c r="A34" s="4">
        <v>30</v>
      </c>
      <c r="B34" s="4">
        <v>142</v>
      </c>
      <c r="C34" s="4">
        <v>100</v>
      </c>
      <c r="D34" s="4">
        <f t="shared" si="0"/>
        <v>20164</v>
      </c>
      <c r="E34" s="4">
        <f t="shared" si="1"/>
        <v>2863288</v>
      </c>
      <c r="F34" s="4">
        <f t="shared" si="2"/>
        <v>406586896</v>
      </c>
      <c r="G34" s="4">
        <f t="shared" si="3"/>
        <v>14200</v>
      </c>
      <c r="H34" s="4">
        <f t="shared" si="4"/>
        <v>2016400</v>
      </c>
    </row>
    <row r="35" spans="1:8" x14ac:dyDescent="0.2">
      <c r="A35" s="4">
        <v>31</v>
      </c>
      <c r="B35" s="4">
        <v>145</v>
      </c>
      <c r="C35" s="4">
        <v>100</v>
      </c>
      <c r="D35" s="4">
        <f t="shared" si="0"/>
        <v>21025</v>
      </c>
      <c r="E35" s="4">
        <f t="shared" si="1"/>
        <v>3048625</v>
      </c>
      <c r="F35" s="4">
        <f t="shared" si="2"/>
        <v>442050625</v>
      </c>
      <c r="G35" s="4">
        <f t="shared" si="3"/>
        <v>14500</v>
      </c>
      <c r="H35" s="4">
        <f t="shared" si="4"/>
        <v>2102500</v>
      </c>
    </row>
    <row r="36" spans="1:8" x14ac:dyDescent="0.2">
      <c r="A36" s="4">
        <v>32</v>
      </c>
      <c r="B36" s="4">
        <v>150</v>
      </c>
      <c r="C36" s="4">
        <v>100</v>
      </c>
      <c r="D36" s="4">
        <f t="shared" si="0"/>
        <v>22500</v>
      </c>
      <c r="E36" s="4">
        <f t="shared" si="1"/>
        <v>3375000</v>
      </c>
      <c r="F36" s="4">
        <f t="shared" si="2"/>
        <v>506250000</v>
      </c>
      <c r="G36" s="4">
        <f t="shared" si="3"/>
        <v>15000</v>
      </c>
      <c r="H36" s="4">
        <f t="shared" si="4"/>
        <v>2250000</v>
      </c>
    </row>
    <row r="37" spans="1:8" x14ac:dyDescent="0.2">
      <c r="A37" s="4">
        <v>33</v>
      </c>
      <c r="B37" s="4">
        <v>148</v>
      </c>
      <c r="C37" s="4">
        <v>100</v>
      </c>
      <c r="D37" s="4">
        <f t="shared" ref="D37:D68" si="5">B37^2</f>
        <v>21904</v>
      </c>
      <c r="E37" s="4">
        <f t="shared" ref="E37:E68" si="6">B37^3</f>
        <v>3241792</v>
      </c>
      <c r="F37" s="4">
        <f t="shared" ref="F37:F68" si="7">B37^4</f>
        <v>479785216</v>
      </c>
      <c r="G37" s="4">
        <f t="shared" ref="G37:G68" si="8">B37*C37</f>
        <v>14800</v>
      </c>
      <c r="H37" s="4">
        <f t="shared" ref="H37:H68" si="9">D37*C37</f>
        <v>2190400</v>
      </c>
    </row>
    <row r="38" spans="1:8" x14ac:dyDescent="0.2">
      <c r="A38" s="4">
        <v>34</v>
      </c>
      <c r="B38" s="4">
        <v>145</v>
      </c>
      <c r="C38" s="4">
        <v>100</v>
      </c>
      <c r="D38" s="4">
        <f t="shared" si="5"/>
        <v>21025</v>
      </c>
      <c r="E38" s="4">
        <f t="shared" si="6"/>
        <v>3048625</v>
      </c>
      <c r="F38" s="4">
        <f t="shared" si="7"/>
        <v>442050625</v>
      </c>
      <c r="G38" s="4">
        <f t="shared" si="8"/>
        <v>14500</v>
      </c>
      <c r="H38" s="4">
        <f t="shared" si="9"/>
        <v>2102500</v>
      </c>
    </row>
    <row r="39" spans="1:8" x14ac:dyDescent="0.2">
      <c r="A39" s="4">
        <v>35</v>
      </c>
      <c r="B39" s="4">
        <v>151</v>
      </c>
      <c r="C39" s="4">
        <v>100</v>
      </c>
      <c r="D39" s="4">
        <f t="shared" si="5"/>
        <v>22801</v>
      </c>
      <c r="E39" s="4">
        <f t="shared" si="6"/>
        <v>3442951</v>
      </c>
      <c r="F39" s="4">
        <f t="shared" si="7"/>
        <v>519885601</v>
      </c>
      <c r="G39" s="4">
        <f t="shared" si="8"/>
        <v>15100</v>
      </c>
      <c r="H39" s="4">
        <f t="shared" si="9"/>
        <v>2280100</v>
      </c>
    </row>
    <row r="40" spans="1:8" x14ac:dyDescent="0.2">
      <c r="A40" s="4">
        <v>36</v>
      </c>
      <c r="B40" s="4">
        <v>139</v>
      </c>
      <c r="C40" s="4">
        <v>100</v>
      </c>
      <c r="D40" s="4">
        <f t="shared" si="5"/>
        <v>19321</v>
      </c>
      <c r="E40" s="4">
        <f t="shared" si="6"/>
        <v>2685619</v>
      </c>
      <c r="F40" s="4">
        <f t="shared" si="7"/>
        <v>373301041</v>
      </c>
      <c r="G40" s="4">
        <f t="shared" si="8"/>
        <v>13900</v>
      </c>
      <c r="H40" s="4">
        <f t="shared" si="9"/>
        <v>1932100</v>
      </c>
    </row>
    <row r="41" spans="1:8" x14ac:dyDescent="0.2">
      <c r="A41" s="4">
        <v>37</v>
      </c>
      <c r="B41" s="4">
        <v>149</v>
      </c>
      <c r="C41" s="4">
        <v>100</v>
      </c>
      <c r="D41" s="4">
        <f t="shared" si="5"/>
        <v>22201</v>
      </c>
      <c r="E41" s="4">
        <f t="shared" si="6"/>
        <v>3307949</v>
      </c>
      <c r="F41" s="4">
        <f t="shared" si="7"/>
        <v>492884401</v>
      </c>
      <c r="G41" s="4">
        <f t="shared" si="8"/>
        <v>14900</v>
      </c>
      <c r="H41" s="4">
        <f t="shared" si="9"/>
        <v>2220100</v>
      </c>
    </row>
    <row r="42" spans="1:8" x14ac:dyDescent="0.2">
      <c r="A42" s="4">
        <v>38</v>
      </c>
      <c r="B42" s="4">
        <v>150</v>
      </c>
      <c r="C42" s="4">
        <v>100</v>
      </c>
      <c r="D42" s="4">
        <f t="shared" si="5"/>
        <v>22500</v>
      </c>
      <c r="E42" s="4">
        <f t="shared" si="6"/>
        <v>3375000</v>
      </c>
      <c r="F42" s="4">
        <f t="shared" si="7"/>
        <v>506250000</v>
      </c>
      <c r="G42" s="4">
        <f t="shared" si="8"/>
        <v>15000</v>
      </c>
      <c r="H42" s="4">
        <f t="shared" si="9"/>
        <v>2250000</v>
      </c>
    </row>
    <row r="43" spans="1:8" x14ac:dyDescent="0.2">
      <c r="A43" s="4">
        <v>39</v>
      </c>
      <c r="B43" s="4">
        <v>152</v>
      </c>
      <c r="C43" s="4">
        <v>100</v>
      </c>
      <c r="D43" s="4">
        <f t="shared" si="5"/>
        <v>23104</v>
      </c>
      <c r="E43" s="4">
        <f t="shared" si="6"/>
        <v>3511808</v>
      </c>
      <c r="F43" s="4">
        <f t="shared" si="7"/>
        <v>533794816</v>
      </c>
      <c r="G43" s="4">
        <f t="shared" si="8"/>
        <v>15200</v>
      </c>
      <c r="H43" s="4">
        <f t="shared" si="9"/>
        <v>2310400</v>
      </c>
    </row>
    <row r="44" spans="1:8" x14ac:dyDescent="0.2">
      <c r="A44" s="4">
        <v>40</v>
      </c>
      <c r="B44" s="4">
        <v>148</v>
      </c>
      <c r="C44" s="4">
        <v>100</v>
      </c>
      <c r="D44" s="4">
        <f t="shared" si="5"/>
        <v>21904</v>
      </c>
      <c r="E44" s="4">
        <f t="shared" si="6"/>
        <v>3241792</v>
      </c>
      <c r="F44" s="4">
        <f t="shared" si="7"/>
        <v>479785216</v>
      </c>
      <c r="G44" s="4">
        <f t="shared" si="8"/>
        <v>14800</v>
      </c>
      <c r="H44" s="4">
        <f t="shared" si="9"/>
        <v>2190400</v>
      </c>
    </row>
    <row r="45" spans="1:8" x14ac:dyDescent="0.2">
      <c r="A45" s="4">
        <v>41</v>
      </c>
      <c r="B45" s="4">
        <v>141</v>
      </c>
      <c r="C45" s="4">
        <v>100</v>
      </c>
      <c r="D45" s="4">
        <f t="shared" si="5"/>
        <v>19881</v>
      </c>
      <c r="E45" s="4">
        <f t="shared" si="6"/>
        <v>2803221</v>
      </c>
      <c r="F45" s="4">
        <f t="shared" si="7"/>
        <v>395254161</v>
      </c>
      <c r="G45" s="4">
        <f t="shared" si="8"/>
        <v>14100</v>
      </c>
      <c r="H45" s="4">
        <f t="shared" si="9"/>
        <v>1988100</v>
      </c>
    </row>
    <row r="46" spans="1:8" x14ac:dyDescent="0.2">
      <c r="A46" s="4">
        <v>42</v>
      </c>
      <c r="B46" s="4">
        <v>149</v>
      </c>
      <c r="C46" s="4">
        <v>100</v>
      </c>
      <c r="D46" s="4">
        <f t="shared" si="5"/>
        <v>22201</v>
      </c>
      <c r="E46" s="4">
        <f t="shared" si="6"/>
        <v>3307949</v>
      </c>
      <c r="F46" s="4">
        <f t="shared" si="7"/>
        <v>492884401</v>
      </c>
      <c r="G46" s="4">
        <f t="shared" si="8"/>
        <v>14900</v>
      </c>
      <c r="H46" s="4">
        <f t="shared" si="9"/>
        <v>2220100</v>
      </c>
    </row>
    <row r="47" spans="1:8" x14ac:dyDescent="0.2">
      <c r="A47" s="4">
        <v>43</v>
      </c>
      <c r="B47" s="4">
        <v>136</v>
      </c>
      <c r="C47" s="4">
        <v>100</v>
      </c>
      <c r="D47" s="4">
        <f t="shared" si="5"/>
        <v>18496</v>
      </c>
      <c r="E47" s="4">
        <f t="shared" si="6"/>
        <v>2515456</v>
      </c>
      <c r="F47" s="4">
        <f t="shared" si="7"/>
        <v>342102016</v>
      </c>
      <c r="G47" s="4">
        <f t="shared" si="8"/>
        <v>13600</v>
      </c>
      <c r="H47" s="4">
        <f t="shared" si="9"/>
        <v>1849600</v>
      </c>
    </row>
    <row r="48" spans="1:8" x14ac:dyDescent="0.2">
      <c r="A48" s="4">
        <v>44</v>
      </c>
      <c r="B48" s="4">
        <v>152</v>
      </c>
      <c r="C48" s="4">
        <v>100</v>
      </c>
      <c r="D48" s="4">
        <f t="shared" si="5"/>
        <v>23104</v>
      </c>
      <c r="E48" s="4">
        <f t="shared" si="6"/>
        <v>3511808</v>
      </c>
      <c r="F48" s="4">
        <f t="shared" si="7"/>
        <v>533794816</v>
      </c>
      <c r="G48" s="4">
        <f t="shared" si="8"/>
        <v>15200</v>
      </c>
      <c r="H48" s="4">
        <f t="shared" si="9"/>
        <v>2310400</v>
      </c>
    </row>
    <row r="49" spans="1:8" x14ac:dyDescent="0.2">
      <c r="A49" s="4">
        <v>45</v>
      </c>
      <c r="B49" s="4">
        <v>270</v>
      </c>
      <c r="C49" s="4">
        <v>200</v>
      </c>
      <c r="D49" s="4">
        <f t="shared" si="5"/>
        <v>72900</v>
      </c>
      <c r="E49" s="4">
        <f t="shared" si="6"/>
        <v>19683000</v>
      </c>
      <c r="F49" s="4">
        <f t="shared" si="7"/>
        <v>5314410000</v>
      </c>
      <c r="G49" s="4">
        <f t="shared" si="8"/>
        <v>54000</v>
      </c>
      <c r="H49" s="4">
        <f t="shared" si="9"/>
        <v>14580000</v>
      </c>
    </row>
    <row r="50" spans="1:8" x14ac:dyDescent="0.2">
      <c r="A50" s="4">
        <v>46</v>
      </c>
      <c r="B50" s="4">
        <v>268</v>
      </c>
      <c r="C50" s="4">
        <v>200</v>
      </c>
      <c r="D50" s="4">
        <f t="shared" si="5"/>
        <v>71824</v>
      </c>
      <c r="E50" s="4">
        <f t="shared" si="6"/>
        <v>19248832</v>
      </c>
      <c r="F50" s="4">
        <f t="shared" si="7"/>
        <v>5158686976</v>
      </c>
      <c r="G50" s="4">
        <f t="shared" si="8"/>
        <v>53600</v>
      </c>
      <c r="H50" s="4">
        <f t="shared" si="9"/>
        <v>14364800</v>
      </c>
    </row>
    <row r="51" spans="1:8" x14ac:dyDescent="0.2">
      <c r="A51" s="4">
        <v>47</v>
      </c>
      <c r="B51" s="4">
        <v>269</v>
      </c>
      <c r="C51" s="4">
        <v>200</v>
      </c>
      <c r="D51" s="4">
        <f t="shared" si="5"/>
        <v>72361</v>
      </c>
      <c r="E51" s="4">
        <f t="shared" si="6"/>
        <v>19465109</v>
      </c>
      <c r="F51" s="4">
        <f t="shared" si="7"/>
        <v>5236114321</v>
      </c>
      <c r="G51" s="4">
        <f t="shared" si="8"/>
        <v>53800</v>
      </c>
      <c r="H51" s="4">
        <f t="shared" si="9"/>
        <v>14472200</v>
      </c>
    </row>
    <row r="52" spans="1:8" x14ac:dyDescent="0.2">
      <c r="A52" s="4">
        <v>48</v>
      </c>
      <c r="B52" s="4">
        <v>267</v>
      </c>
      <c r="C52" s="4">
        <v>200</v>
      </c>
      <c r="D52" s="4">
        <f t="shared" si="5"/>
        <v>71289</v>
      </c>
      <c r="E52" s="4">
        <f t="shared" si="6"/>
        <v>19034163</v>
      </c>
      <c r="F52" s="4">
        <f t="shared" si="7"/>
        <v>5082121521</v>
      </c>
      <c r="G52" s="4">
        <f t="shared" si="8"/>
        <v>53400</v>
      </c>
      <c r="H52" s="4">
        <f t="shared" si="9"/>
        <v>14257800</v>
      </c>
    </row>
    <row r="53" spans="1:8" x14ac:dyDescent="0.2">
      <c r="A53" s="4">
        <v>49</v>
      </c>
      <c r="B53" s="4">
        <v>268</v>
      </c>
      <c r="C53" s="4">
        <v>200</v>
      </c>
      <c r="D53" s="4">
        <f t="shared" si="5"/>
        <v>71824</v>
      </c>
      <c r="E53" s="4">
        <f t="shared" si="6"/>
        <v>19248832</v>
      </c>
      <c r="F53" s="4">
        <f t="shared" si="7"/>
        <v>5158686976</v>
      </c>
      <c r="G53" s="4">
        <f t="shared" si="8"/>
        <v>53600</v>
      </c>
      <c r="H53" s="4">
        <f t="shared" si="9"/>
        <v>14364800</v>
      </c>
    </row>
    <row r="54" spans="1:8" x14ac:dyDescent="0.2">
      <c r="A54" s="4">
        <v>50</v>
      </c>
      <c r="B54" s="4">
        <v>270</v>
      </c>
      <c r="C54" s="4">
        <v>200</v>
      </c>
      <c r="D54" s="4">
        <f t="shared" si="5"/>
        <v>72900</v>
      </c>
      <c r="E54" s="4">
        <f t="shared" si="6"/>
        <v>19683000</v>
      </c>
      <c r="F54" s="4">
        <f t="shared" si="7"/>
        <v>5314410000</v>
      </c>
      <c r="G54" s="4">
        <f t="shared" si="8"/>
        <v>54000</v>
      </c>
      <c r="H54" s="4">
        <f t="shared" si="9"/>
        <v>14580000</v>
      </c>
    </row>
    <row r="55" spans="1:8" x14ac:dyDescent="0.2">
      <c r="A55" s="4">
        <v>51</v>
      </c>
      <c r="B55" s="4">
        <v>269</v>
      </c>
      <c r="C55" s="4">
        <v>200</v>
      </c>
      <c r="D55" s="4">
        <f t="shared" si="5"/>
        <v>72361</v>
      </c>
      <c r="E55" s="4">
        <f t="shared" si="6"/>
        <v>19465109</v>
      </c>
      <c r="F55" s="4">
        <f t="shared" si="7"/>
        <v>5236114321</v>
      </c>
      <c r="G55" s="4">
        <f t="shared" si="8"/>
        <v>53800</v>
      </c>
      <c r="H55" s="4">
        <f t="shared" si="9"/>
        <v>14472200</v>
      </c>
    </row>
    <row r="56" spans="1:8" x14ac:dyDescent="0.2">
      <c r="A56" s="4">
        <v>52</v>
      </c>
      <c r="B56" s="4">
        <v>267</v>
      </c>
      <c r="C56" s="4">
        <v>200</v>
      </c>
      <c r="D56" s="4">
        <f t="shared" si="5"/>
        <v>71289</v>
      </c>
      <c r="E56" s="4">
        <f t="shared" si="6"/>
        <v>19034163</v>
      </c>
      <c r="F56" s="4">
        <f t="shared" si="7"/>
        <v>5082121521</v>
      </c>
      <c r="G56" s="4">
        <f t="shared" si="8"/>
        <v>53400</v>
      </c>
      <c r="H56" s="4">
        <f t="shared" si="9"/>
        <v>14257800</v>
      </c>
    </row>
    <row r="57" spans="1:8" x14ac:dyDescent="0.2">
      <c r="A57" s="4">
        <v>53</v>
      </c>
      <c r="B57" s="4">
        <v>270</v>
      </c>
      <c r="C57" s="4">
        <v>200</v>
      </c>
      <c r="D57" s="4">
        <f t="shared" si="5"/>
        <v>72900</v>
      </c>
      <c r="E57" s="4">
        <f t="shared" si="6"/>
        <v>19683000</v>
      </c>
      <c r="F57" s="4">
        <f t="shared" si="7"/>
        <v>5314410000</v>
      </c>
      <c r="G57" s="4">
        <f t="shared" si="8"/>
        <v>54000</v>
      </c>
      <c r="H57" s="4">
        <f t="shared" si="9"/>
        <v>14580000</v>
      </c>
    </row>
    <row r="58" spans="1:8" x14ac:dyDescent="0.2">
      <c r="A58" s="4">
        <v>54</v>
      </c>
      <c r="B58" s="4">
        <v>271</v>
      </c>
      <c r="C58" s="4">
        <v>200</v>
      </c>
      <c r="D58" s="4">
        <f t="shared" si="5"/>
        <v>73441</v>
      </c>
      <c r="E58" s="4">
        <f t="shared" si="6"/>
        <v>19902511</v>
      </c>
      <c r="F58" s="4">
        <f t="shared" si="7"/>
        <v>5393580481</v>
      </c>
      <c r="G58" s="4">
        <f t="shared" si="8"/>
        <v>54200</v>
      </c>
      <c r="H58" s="4">
        <f t="shared" si="9"/>
        <v>14688200</v>
      </c>
    </row>
    <row r="59" spans="1:8" x14ac:dyDescent="0.2">
      <c r="A59" s="4">
        <v>55</v>
      </c>
      <c r="B59" s="4">
        <v>269</v>
      </c>
      <c r="C59" s="4">
        <v>200</v>
      </c>
      <c r="D59" s="4">
        <f t="shared" si="5"/>
        <v>72361</v>
      </c>
      <c r="E59" s="4">
        <f t="shared" si="6"/>
        <v>19465109</v>
      </c>
      <c r="F59" s="4">
        <f t="shared" si="7"/>
        <v>5236114321</v>
      </c>
      <c r="G59" s="4">
        <f t="shared" si="8"/>
        <v>53800</v>
      </c>
      <c r="H59" s="4">
        <f t="shared" si="9"/>
        <v>14472200</v>
      </c>
    </row>
    <row r="60" spans="1:8" x14ac:dyDescent="0.2">
      <c r="A60" s="4">
        <v>56</v>
      </c>
      <c r="B60" s="4">
        <v>268</v>
      </c>
      <c r="C60" s="4">
        <v>200</v>
      </c>
      <c r="D60" s="4">
        <f t="shared" si="5"/>
        <v>71824</v>
      </c>
      <c r="E60" s="4">
        <f t="shared" si="6"/>
        <v>19248832</v>
      </c>
      <c r="F60" s="4">
        <f t="shared" si="7"/>
        <v>5158686976</v>
      </c>
      <c r="G60" s="4">
        <f t="shared" si="8"/>
        <v>53600</v>
      </c>
      <c r="H60" s="4">
        <f t="shared" si="9"/>
        <v>14364800</v>
      </c>
    </row>
    <row r="61" spans="1:8" x14ac:dyDescent="0.2">
      <c r="A61" s="4">
        <v>57</v>
      </c>
      <c r="B61" s="4">
        <v>269</v>
      </c>
      <c r="C61" s="4">
        <v>200</v>
      </c>
      <c r="D61" s="4">
        <f t="shared" si="5"/>
        <v>72361</v>
      </c>
      <c r="E61" s="4">
        <f t="shared" si="6"/>
        <v>19465109</v>
      </c>
      <c r="F61" s="4">
        <f t="shared" si="7"/>
        <v>5236114321</v>
      </c>
      <c r="G61" s="4">
        <f t="shared" si="8"/>
        <v>53800</v>
      </c>
      <c r="H61" s="4">
        <f t="shared" si="9"/>
        <v>14472200</v>
      </c>
    </row>
    <row r="62" spans="1:8" x14ac:dyDescent="0.2">
      <c r="A62" s="4">
        <v>58</v>
      </c>
      <c r="B62" s="4">
        <v>271</v>
      </c>
      <c r="C62" s="4">
        <v>200</v>
      </c>
      <c r="D62" s="4">
        <f t="shared" si="5"/>
        <v>73441</v>
      </c>
      <c r="E62" s="4">
        <f t="shared" si="6"/>
        <v>19902511</v>
      </c>
      <c r="F62" s="4">
        <f t="shared" si="7"/>
        <v>5393580481</v>
      </c>
      <c r="G62" s="4">
        <f t="shared" si="8"/>
        <v>54200</v>
      </c>
      <c r="H62" s="4">
        <f t="shared" si="9"/>
        <v>14688200</v>
      </c>
    </row>
    <row r="63" spans="1:8" x14ac:dyDescent="0.2">
      <c r="A63" s="4">
        <v>59</v>
      </c>
      <c r="B63" s="4">
        <v>270</v>
      </c>
      <c r="C63" s="4">
        <v>200</v>
      </c>
      <c r="D63" s="4">
        <f t="shared" si="5"/>
        <v>72900</v>
      </c>
      <c r="E63" s="4">
        <f t="shared" si="6"/>
        <v>19683000</v>
      </c>
      <c r="F63" s="4">
        <f t="shared" si="7"/>
        <v>5314410000</v>
      </c>
      <c r="G63" s="4">
        <f t="shared" si="8"/>
        <v>54000</v>
      </c>
      <c r="H63" s="4">
        <f t="shared" si="9"/>
        <v>14580000</v>
      </c>
    </row>
    <row r="64" spans="1:8" x14ac:dyDescent="0.2">
      <c r="A64" s="4">
        <v>60</v>
      </c>
      <c r="B64" s="4">
        <v>269</v>
      </c>
      <c r="C64" s="4">
        <v>200</v>
      </c>
      <c r="D64" s="4">
        <f t="shared" si="5"/>
        <v>72361</v>
      </c>
      <c r="E64" s="4">
        <f t="shared" si="6"/>
        <v>19465109</v>
      </c>
      <c r="F64" s="4">
        <f t="shared" si="7"/>
        <v>5236114321</v>
      </c>
      <c r="G64" s="4">
        <f t="shared" si="8"/>
        <v>53800</v>
      </c>
      <c r="H64" s="4">
        <f t="shared" si="9"/>
        <v>14472200</v>
      </c>
    </row>
    <row r="65" spans="1:8" x14ac:dyDescent="0.2">
      <c r="A65" s="4">
        <v>61</v>
      </c>
      <c r="B65" s="4">
        <v>270</v>
      </c>
      <c r="C65" s="4">
        <v>200</v>
      </c>
      <c r="D65" s="4">
        <f t="shared" si="5"/>
        <v>72900</v>
      </c>
      <c r="E65" s="4">
        <f t="shared" si="6"/>
        <v>19683000</v>
      </c>
      <c r="F65" s="4">
        <f t="shared" si="7"/>
        <v>5314410000</v>
      </c>
      <c r="G65" s="4">
        <f t="shared" si="8"/>
        <v>54000</v>
      </c>
      <c r="H65" s="4">
        <f t="shared" si="9"/>
        <v>14580000</v>
      </c>
    </row>
    <row r="66" spans="1:8" x14ac:dyDescent="0.2">
      <c r="A66" s="4">
        <v>62</v>
      </c>
      <c r="B66" s="4">
        <v>269</v>
      </c>
      <c r="C66" s="4">
        <v>200</v>
      </c>
      <c r="D66" s="4">
        <f t="shared" si="5"/>
        <v>72361</v>
      </c>
      <c r="E66" s="4">
        <f t="shared" si="6"/>
        <v>19465109</v>
      </c>
      <c r="F66" s="4">
        <f t="shared" si="7"/>
        <v>5236114321</v>
      </c>
      <c r="G66" s="4">
        <f t="shared" si="8"/>
        <v>53800</v>
      </c>
      <c r="H66" s="4">
        <f t="shared" si="9"/>
        <v>14472200</v>
      </c>
    </row>
    <row r="67" spans="1:8" x14ac:dyDescent="0.2">
      <c r="A67" s="4">
        <v>63</v>
      </c>
      <c r="B67" s="4">
        <v>268</v>
      </c>
      <c r="C67" s="4">
        <v>200</v>
      </c>
      <c r="D67" s="4">
        <f t="shared" si="5"/>
        <v>71824</v>
      </c>
      <c r="E67" s="4">
        <f t="shared" si="6"/>
        <v>19248832</v>
      </c>
      <c r="F67" s="4">
        <f t="shared" si="7"/>
        <v>5158686976</v>
      </c>
      <c r="G67" s="4">
        <f t="shared" si="8"/>
        <v>53600</v>
      </c>
      <c r="H67" s="4">
        <f t="shared" si="9"/>
        <v>14364800</v>
      </c>
    </row>
    <row r="68" spans="1:8" x14ac:dyDescent="0.2">
      <c r="A68" s="4">
        <v>64</v>
      </c>
      <c r="B68" s="4">
        <v>271</v>
      </c>
      <c r="C68" s="4">
        <v>200</v>
      </c>
      <c r="D68" s="4">
        <f t="shared" si="5"/>
        <v>73441</v>
      </c>
      <c r="E68" s="4">
        <f t="shared" si="6"/>
        <v>19902511</v>
      </c>
      <c r="F68" s="4">
        <f t="shared" si="7"/>
        <v>5393580481</v>
      </c>
      <c r="G68" s="4">
        <f t="shared" si="8"/>
        <v>54200</v>
      </c>
      <c r="H68" s="4">
        <f t="shared" si="9"/>
        <v>14688200</v>
      </c>
    </row>
    <row r="69" spans="1:8" x14ac:dyDescent="0.2">
      <c r="A69" s="4">
        <v>65</v>
      </c>
      <c r="B69" s="4">
        <v>348</v>
      </c>
      <c r="C69" s="4">
        <v>300</v>
      </c>
      <c r="D69" s="4">
        <f t="shared" ref="D69:D88" si="10">B69^2</f>
        <v>121104</v>
      </c>
      <c r="E69" s="4">
        <f t="shared" ref="E69:E88" si="11">B69^3</f>
        <v>42144192</v>
      </c>
      <c r="F69" s="4">
        <f t="shared" ref="F69:F88" si="12">B69^4</f>
        <v>14666178816</v>
      </c>
      <c r="G69" s="4">
        <f t="shared" ref="G69:G88" si="13">B69*C69</f>
        <v>104400</v>
      </c>
      <c r="H69" s="4">
        <f t="shared" ref="H69:H88" si="14">D69*C69</f>
        <v>36331200</v>
      </c>
    </row>
    <row r="70" spans="1:8" x14ac:dyDescent="0.2">
      <c r="A70" s="4">
        <v>66</v>
      </c>
      <c r="B70" s="4">
        <v>346</v>
      </c>
      <c r="C70" s="4">
        <v>300</v>
      </c>
      <c r="D70" s="4">
        <f t="shared" si="10"/>
        <v>119716</v>
      </c>
      <c r="E70" s="4">
        <f t="shared" si="11"/>
        <v>41421736</v>
      </c>
      <c r="F70" s="4">
        <f t="shared" si="12"/>
        <v>14331920656</v>
      </c>
      <c r="G70" s="4">
        <f t="shared" si="13"/>
        <v>103800</v>
      </c>
      <c r="H70" s="4">
        <f t="shared" si="14"/>
        <v>35914800</v>
      </c>
    </row>
    <row r="71" spans="1:8" x14ac:dyDescent="0.2">
      <c r="A71" s="4">
        <v>67</v>
      </c>
      <c r="B71" s="4">
        <v>349</v>
      </c>
      <c r="C71" s="4">
        <v>300</v>
      </c>
      <c r="D71" s="4">
        <f t="shared" si="10"/>
        <v>121801</v>
      </c>
      <c r="E71" s="4">
        <f t="shared" si="11"/>
        <v>42508549</v>
      </c>
      <c r="F71" s="4">
        <f t="shared" si="12"/>
        <v>14835483601</v>
      </c>
      <c r="G71" s="4">
        <f t="shared" si="13"/>
        <v>104700</v>
      </c>
      <c r="H71" s="4">
        <f t="shared" si="14"/>
        <v>36540300</v>
      </c>
    </row>
    <row r="72" spans="1:8" x14ac:dyDescent="0.2">
      <c r="A72" s="4">
        <v>68</v>
      </c>
      <c r="B72" s="4">
        <v>344</v>
      </c>
      <c r="C72" s="4">
        <v>300</v>
      </c>
      <c r="D72" s="4">
        <f t="shared" si="10"/>
        <v>118336</v>
      </c>
      <c r="E72" s="4">
        <f t="shared" si="11"/>
        <v>40707584</v>
      </c>
      <c r="F72" s="4">
        <f t="shared" si="12"/>
        <v>14003408896</v>
      </c>
      <c r="G72" s="4">
        <f t="shared" si="13"/>
        <v>103200</v>
      </c>
      <c r="H72" s="4">
        <f t="shared" si="14"/>
        <v>35500800</v>
      </c>
    </row>
    <row r="73" spans="1:8" x14ac:dyDescent="0.2">
      <c r="A73" s="4">
        <v>69</v>
      </c>
      <c r="B73" s="4">
        <v>345</v>
      </c>
      <c r="C73" s="4">
        <v>300</v>
      </c>
      <c r="D73" s="4">
        <f t="shared" si="10"/>
        <v>119025</v>
      </c>
      <c r="E73" s="4">
        <f t="shared" si="11"/>
        <v>41063625</v>
      </c>
      <c r="F73" s="4">
        <f t="shared" si="12"/>
        <v>14166950625</v>
      </c>
      <c r="G73" s="4">
        <f t="shared" si="13"/>
        <v>103500</v>
      </c>
      <c r="H73" s="4">
        <f t="shared" si="14"/>
        <v>35707500</v>
      </c>
    </row>
    <row r="74" spans="1:8" x14ac:dyDescent="0.2">
      <c r="A74" s="4">
        <v>70</v>
      </c>
      <c r="B74" s="4">
        <v>349</v>
      </c>
      <c r="C74" s="4">
        <v>300</v>
      </c>
      <c r="D74" s="4">
        <f t="shared" si="10"/>
        <v>121801</v>
      </c>
      <c r="E74" s="4">
        <f t="shared" si="11"/>
        <v>42508549</v>
      </c>
      <c r="F74" s="4">
        <f t="shared" si="12"/>
        <v>14835483601</v>
      </c>
      <c r="G74" s="4">
        <f t="shared" si="13"/>
        <v>104700</v>
      </c>
      <c r="H74" s="4">
        <f t="shared" si="14"/>
        <v>36540300</v>
      </c>
    </row>
    <row r="75" spans="1:8" x14ac:dyDescent="0.2">
      <c r="A75" s="4">
        <v>71</v>
      </c>
      <c r="B75" s="4">
        <v>348</v>
      </c>
      <c r="C75" s="4">
        <v>300</v>
      </c>
      <c r="D75" s="4">
        <f t="shared" si="10"/>
        <v>121104</v>
      </c>
      <c r="E75" s="4">
        <f t="shared" si="11"/>
        <v>42144192</v>
      </c>
      <c r="F75" s="4">
        <f t="shared" si="12"/>
        <v>14666178816</v>
      </c>
      <c r="G75" s="4">
        <f t="shared" si="13"/>
        <v>104400</v>
      </c>
      <c r="H75" s="4">
        <f t="shared" si="14"/>
        <v>36331200</v>
      </c>
    </row>
    <row r="76" spans="1:8" x14ac:dyDescent="0.2">
      <c r="A76" s="4">
        <v>72</v>
      </c>
      <c r="B76" s="4">
        <v>346</v>
      </c>
      <c r="C76" s="4">
        <v>300</v>
      </c>
      <c r="D76" s="4">
        <f t="shared" si="10"/>
        <v>119716</v>
      </c>
      <c r="E76" s="4">
        <f t="shared" si="11"/>
        <v>41421736</v>
      </c>
      <c r="F76" s="4">
        <f t="shared" si="12"/>
        <v>14331920656</v>
      </c>
      <c r="G76" s="4">
        <f t="shared" si="13"/>
        <v>103800</v>
      </c>
      <c r="H76" s="4">
        <f t="shared" si="14"/>
        <v>35914800</v>
      </c>
    </row>
    <row r="77" spans="1:8" x14ac:dyDescent="0.2">
      <c r="A77" s="4">
        <v>73</v>
      </c>
      <c r="B77" s="4">
        <v>345</v>
      </c>
      <c r="C77" s="4">
        <v>300</v>
      </c>
      <c r="D77" s="4">
        <f t="shared" si="10"/>
        <v>119025</v>
      </c>
      <c r="E77" s="4">
        <f t="shared" si="11"/>
        <v>41063625</v>
      </c>
      <c r="F77" s="4">
        <f t="shared" si="12"/>
        <v>14166950625</v>
      </c>
      <c r="G77" s="4">
        <f t="shared" si="13"/>
        <v>103500</v>
      </c>
      <c r="H77" s="4">
        <f t="shared" si="14"/>
        <v>35707500</v>
      </c>
    </row>
    <row r="78" spans="1:8" x14ac:dyDescent="0.2">
      <c r="A78" s="4">
        <v>74</v>
      </c>
      <c r="B78" s="4">
        <v>344</v>
      </c>
      <c r="C78" s="4">
        <v>300</v>
      </c>
      <c r="D78" s="4">
        <f t="shared" si="10"/>
        <v>118336</v>
      </c>
      <c r="E78" s="4">
        <f t="shared" si="11"/>
        <v>40707584</v>
      </c>
      <c r="F78" s="4">
        <f t="shared" si="12"/>
        <v>14003408896</v>
      </c>
      <c r="G78" s="4">
        <f t="shared" si="13"/>
        <v>103200</v>
      </c>
      <c r="H78" s="4">
        <f t="shared" si="14"/>
        <v>35500800</v>
      </c>
    </row>
    <row r="79" spans="1:8" x14ac:dyDescent="0.2">
      <c r="A79" s="4">
        <v>75</v>
      </c>
      <c r="B79" s="4">
        <v>346</v>
      </c>
      <c r="C79" s="4">
        <v>300</v>
      </c>
      <c r="D79" s="4">
        <f t="shared" si="10"/>
        <v>119716</v>
      </c>
      <c r="E79" s="4">
        <f t="shared" si="11"/>
        <v>41421736</v>
      </c>
      <c r="F79" s="4">
        <f t="shared" si="12"/>
        <v>14331920656</v>
      </c>
      <c r="G79" s="4">
        <f t="shared" si="13"/>
        <v>103800</v>
      </c>
      <c r="H79" s="4">
        <f t="shared" si="14"/>
        <v>35914800</v>
      </c>
    </row>
    <row r="80" spans="1:8" x14ac:dyDescent="0.2">
      <c r="A80" s="4">
        <v>76</v>
      </c>
      <c r="B80" s="4">
        <v>344</v>
      </c>
      <c r="C80" s="4">
        <v>300</v>
      </c>
      <c r="D80" s="4">
        <f t="shared" si="10"/>
        <v>118336</v>
      </c>
      <c r="E80" s="4">
        <f t="shared" si="11"/>
        <v>40707584</v>
      </c>
      <c r="F80" s="4">
        <f t="shared" si="12"/>
        <v>14003408896</v>
      </c>
      <c r="G80" s="4">
        <f t="shared" si="13"/>
        <v>103200</v>
      </c>
      <c r="H80" s="4">
        <f t="shared" si="14"/>
        <v>35500800</v>
      </c>
    </row>
    <row r="81" spans="1:8" x14ac:dyDescent="0.2">
      <c r="A81" s="4">
        <v>77</v>
      </c>
      <c r="B81" s="4">
        <v>345</v>
      </c>
      <c r="C81" s="4">
        <v>300</v>
      </c>
      <c r="D81" s="4">
        <f t="shared" si="10"/>
        <v>119025</v>
      </c>
      <c r="E81" s="4">
        <f t="shared" si="11"/>
        <v>41063625</v>
      </c>
      <c r="F81" s="4">
        <f t="shared" si="12"/>
        <v>14166950625</v>
      </c>
      <c r="G81" s="4">
        <f t="shared" si="13"/>
        <v>103500</v>
      </c>
      <c r="H81" s="4">
        <f t="shared" si="14"/>
        <v>35707500</v>
      </c>
    </row>
    <row r="82" spans="1:8" x14ac:dyDescent="0.2">
      <c r="A82" s="4">
        <v>78</v>
      </c>
      <c r="B82" s="4">
        <v>347</v>
      </c>
      <c r="C82" s="4">
        <v>300</v>
      </c>
      <c r="D82" s="4">
        <f t="shared" si="10"/>
        <v>120409</v>
      </c>
      <c r="E82" s="4">
        <f t="shared" si="11"/>
        <v>41781923</v>
      </c>
      <c r="F82" s="4">
        <f t="shared" si="12"/>
        <v>14498327281</v>
      </c>
      <c r="G82" s="4">
        <f t="shared" si="13"/>
        <v>104100</v>
      </c>
      <c r="H82" s="4">
        <f t="shared" si="14"/>
        <v>36122700</v>
      </c>
    </row>
    <row r="83" spans="1:8" x14ac:dyDescent="0.2">
      <c r="A83" s="4">
        <v>79</v>
      </c>
      <c r="B83" s="4">
        <v>345</v>
      </c>
      <c r="C83" s="4">
        <v>300</v>
      </c>
      <c r="D83" s="4">
        <f t="shared" si="10"/>
        <v>119025</v>
      </c>
      <c r="E83" s="4">
        <f t="shared" si="11"/>
        <v>41063625</v>
      </c>
      <c r="F83" s="4">
        <f t="shared" si="12"/>
        <v>14166950625</v>
      </c>
      <c r="G83" s="4">
        <f t="shared" si="13"/>
        <v>103500</v>
      </c>
      <c r="H83" s="4">
        <f t="shared" si="14"/>
        <v>35707500</v>
      </c>
    </row>
    <row r="84" spans="1:8" x14ac:dyDescent="0.2">
      <c r="A84" s="4">
        <v>80</v>
      </c>
      <c r="B84" s="4">
        <v>346</v>
      </c>
      <c r="C84" s="4">
        <v>300</v>
      </c>
      <c r="D84" s="4">
        <f t="shared" si="10"/>
        <v>119716</v>
      </c>
      <c r="E84" s="4">
        <f t="shared" si="11"/>
        <v>41421736</v>
      </c>
      <c r="F84" s="4">
        <f t="shared" si="12"/>
        <v>14331920656</v>
      </c>
      <c r="G84" s="4">
        <f t="shared" si="13"/>
        <v>103800</v>
      </c>
      <c r="H84" s="4">
        <f t="shared" si="14"/>
        <v>35914800</v>
      </c>
    </row>
    <row r="85" spans="1:8" x14ac:dyDescent="0.2">
      <c r="A85" s="4">
        <v>81</v>
      </c>
      <c r="B85" s="4">
        <v>347</v>
      </c>
      <c r="C85" s="4">
        <v>300</v>
      </c>
      <c r="D85" s="4">
        <f t="shared" si="10"/>
        <v>120409</v>
      </c>
      <c r="E85" s="4">
        <f t="shared" si="11"/>
        <v>41781923</v>
      </c>
      <c r="F85" s="4">
        <f t="shared" si="12"/>
        <v>14498327281</v>
      </c>
      <c r="G85" s="4">
        <f t="shared" si="13"/>
        <v>104100</v>
      </c>
      <c r="H85" s="4">
        <f t="shared" si="14"/>
        <v>36122700</v>
      </c>
    </row>
    <row r="86" spans="1:8" x14ac:dyDescent="0.2">
      <c r="A86" s="4">
        <v>82</v>
      </c>
      <c r="B86" s="4">
        <v>344</v>
      </c>
      <c r="C86" s="4">
        <v>300</v>
      </c>
      <c r="D86" s="4">
        <f t="shared" si="10"/>
        <v>118336</v>
      </c>
      <c r="E86" s="4">
        <f t="shared" si="11"/>
        <v>40707584</v>
      </c>
      <c r="F86" s="4">
        <f t="shared" si="12"/>
        <v>14003408896</v>
      </c>
      <c r="G86" s="4">
        <f t="shared" si="13"/>
        <v>103200</v>
      </c>
      <c r="H86" s="4">
        <f t="shared" si="14"/>
        <v>35500800</v>
      </c>
    </row>
    <row r="87" spans="1:8" x14ac:dyDescent="0.2">
      <c r="A87" s="4">
        <v>83</v>
      </c>
      <c r="B87" s="4">
        <v>346</v>
      </c>
      <c r="C87" s="4">
        <v>300</v>
      </c>
      <c r="D87" s="4">
        <f t="shared" si="10"/>
        <v>119716</v>
      </c>
      <c r="E87" s="4">
        <f t="shared" si="11"/>
        <v>41421736</v>
      </c>
      <c r="F87" s="4">
        <f t="shared" si="12"/>
        <v>14331920656</v>
      </c>
      <c r="G87" s="4">
        <f t="shared" si="13"/>
        <v>103800</v>
      </c>
      <c r="H87" s="4">
        <f t="shared" si="14"/>
        <v>35914800</v>
      </c>
    </row>
    <row r="88" spans="1:8" x14ac:dyDescent="0.2">
      <c r="A88" s="4">
        <v>84</v>
      </c>
      <c r="B88" s="4">
        <v>345</v>
      </c>
      <c r="C88" s="4">
        <v>300</v>
      </c>
      <c r="D88" s="4">
        <f t="shared" si="10"/>
        <v>119025</v>
      </c>
      <c r="E88" s="4">
        <f t="shared" si="11"/>
        <v>41063625</v>
      </c>
      <c r="F88" s="4">
        <f t="shared" si="12"/>
        <v>14166950625</v>
      </c>
      <c r="G88" s="4">
        <f t="shared" si="13"/>
        <v>103500</v>
      </c>
      <c r="H88" s="4">
        <f t="shared" si="14"/>
        <v>35707500</v>
      </c>
    </row>
    <row r="89" spans="1:8" x14ac:dyDescent="0.2">
      <c r="A89" s="7" t="s">
        <v>16</v>
      </c>
      <c r="B89" s="7">
        <f t="shared" ref="B89:H89" si="15">SUM(B5:B88)</f>
        <v>17834</v>
      </c>
      <c r="C89" s="7">
        <f t="shared" si="15"/>
        <v>13600</v>
      </c>
      <c r="D89" s="7">
        <f t="shared" si="15"/>
        <v>4553848</v>
      </c>
      <c r="E89" s="7">
        <f t="shared" si="15"/>
        <v>1311547652</v>
      </c>
      <c r="F89" s="7">
        <f t="shared" si="15"/>
        <v>403997408188</v>
      </c>
      <c r="G89" s="7">
        <f t="shared" si="15"/>
        <v>3618870</v>
      </c>
      <c r="H89" s="7">
        <f t="shared" si="15"/>
        <v>1069602610</v>
      </c>
    </row>
    <row r="92" spans="1:8" x14ac:dyDescent="0.2">
      <c r="A92" s="6" t="s">
        <v>17</v>
      </c>
    </row>
    <row r="93" spans="1:8" x14ac:dyDescent="0.2">
      <c r="A93" s="6" t="s">
        <v>18</v>
      </c>
      <c r="B93">
        <f>((B2*G89)-(B89*C89)) / ((B2*D89)-(B89^2))</f>
        <v>0.95301819049965442</v>
      </c>
    </row>
    <row r="94" spans="1:8" x14ac:dyDescent="0.2">
      <c r="A94" s="6" t="s">
        <v>19</v>
      </c>
      <c r="B94">
        <f>(C89-B93*B89)/B2</f>
        <v>-40.430076302033783</v>
      </c>
    </row>
    <row r="97" spans="1:6" x14ac:dyDescent="0.2">
      <c r="A97" s="6" t="s">
        <v>20</v>
      </c>
    </row>
    <row r="98" spans="1:6" x14ac:dyDescent="0.2">
      <c r="A98" s="6" t="s">
        <v>21</v>
      </c>
    </row>
    <row r="99" spans="1:6" x14ac:dyDescent="0.2">
      <c r="B99" s="8" t="s">
        <v>7</v>
      </c>
      <c r="C99" s="8" t="s">
        <v>22</v>
      </c>
      <c r="D99" s="8" t="s">
        <v>23</v>
      </c>
      <c r="F99" s="6" t="s">
        <v>24</v>
      </c>
    </row>
    <row r="100" spans="1:6" x14ac:dyDescent="0.2">
      <c r="A100" t="s">
        <v>25</v>
      </c>
      <c r="B100">
        <f>B2</f>
        <v>84</v>
      </c>
      <c r="C100">
        <f>B89</f>
        <v>17834</v>
      </c>
      <c r="D100">
        <f>D89</f>
        <v>4553848</v>
      </c>
      <c r="F100">
        <f>C89</f>
        <v>13600</v>
      </c>
    </row>
    <row r="101" spans="1:6" x14ac:dyDescent="0.2">
      <c r="A101" t="s">
        <v>26</v>
      </c>
      <c r="B101">
        <f>B89</f>
        <v>17834</v>
      </c>
      <c r="C101">
        <f>D89</f>
        <v>4553848</v>
      </c>
      <c r="D101">
        <f>E89</f>
        <v>1311547652</v>
      </c>
      <c r="F101">
        <f>G89</f>
        <v>3618870</v>
      </c>
    </row>
    <row r="102" spans="1:6" x14ac:dyDescent="0.2">
      <c r="A102" t="s">
        <v>27</v>
      </c>
      <c r="B102">
        <f>D89</f>
        <v>4553848</v>
      </c>
      <c r="C102">
        <f>E89</f>
        <v>1311547652</v>
      </c>
      <c r="D102">
        <f>F89</f>
        <v>403997408188</v>
      </c>
      <c r="F102">
        <f>H89</f>
        <v>1069602610</v>
      </c>
    </row>
    <row r="104" spans="1:6" x14ac:dyDescent="0.2">
      <c r="A104" s="6" t="s">
        <v>28</v>
      </c>
    </row>
    <row r="105" spans="1:6" x14ac:dyDescent="0.2">
      <c r="A105" s="6" t="s">
        <v>29</v>
      </c>
      <c r="B105">
        <f>INDEX(MMULT(MINVERSE(B100:D102),F100:F102),1,1)</f>
        <v>27.474012020658847</v>
      </c>
    </row>
    <row r="106" spans="1:6" x14ac:dyDescent="0.2">
      <c r="A106" s="6" t="s">
        <v>30</v>
      </c>
      <c r="B106">
        <f>INDEX(MMULT(MINVERSE(B100:D102),F100:F102),2,1)</f>
        <v>0.21175680337157132</v>
      </c>
    </row>
    <row r="107" spans="1:6" x14ac:dyDescent="0.2">
      <c r="A107" s="6" t="s">
        <v>31</v>
      </c>
      <c r="B107">
        <f>INDEX(MMULT(MINVERSE(B100:D102),F100:F102),3,1)</f>
        <v>1.6504090955469786E-3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46</v>
      </c>
    </row>
    <row r="2" spans="1:8" x14ac:dyDescent="0.2">
      <c r="A2" s="6" t="s">
        <v>7</v>
      </c>
      <c r="B2">
        <v>40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567</v>
      </c>
      <c r="C5" s="4">
        <v>500</v>
      </c>
      <c r="D5" s="4">
        <f t="shared" ref="D5:D44" si="0">B5^2</f>
        <v>321489</v>
      </c>
      <c r="E5" s="4">
        <f t="shared" ref="E5:E44" si="1">B5^3</f>
        <v>182284263</v>
      </c>
      <c r="F5" s="4">
        <f t="shared" ref="F5:F44" si="2">B5^4</f>
        <v>103355177121</v>
      </c>
      <c r="G5" s="4">
        <f t="shared" ref="G5:G44" si="3">B5*C5</f>
        <v>283500</v>
      </c>
      <c r="H5" s="4">
        <f t="shared" ref="H5:H44" si="4">D5*C5</f>
        <v>160744500</v>
      </c>
    </row>
    <row r="6" spans="1:8" x14ac:dyDescent="0.2">
      <c r="A6" s="4">
        <v>2</v>
      </c>
      <c r="B6" s="4">
        <v>570</v>
      </c>
      <c r="C6" s="4">
        <v>500</v>
      </c>
      <c r="D6" s="4">
        <f t="shared" si="0"/>
        <v>324900</v>
      </c>
      <c r="E6" s="4">
        <f t="shared" si="1"/>
        <v>185193000</v>
      </c>
      <c r="F6" s="4">
        <f t="shared" si="2"/>
        <v>105560010000</v>
      </c>
      <c r="G6" s="4">
        <f t="shared" si="3"/>
        <v>285000</v>
      </c>
      <c r="H6" s="4">
        <f t="shared" si="4"/>
        <v>162450000</v>
      </c>
    </row>
    <row r="7" spans="1:8" x14ac:dyDescent="0.2">
      <c r="A7" s="4">
        <v>3</v>
      </c>
      <c r="B7" s="4">
        <v>573</v>
      </c>
      <c r="C7" s="4">
        <v>500</v>
      </c>
      <c r="D7" s="4">
        <f t="shared" si="0"/>
        <v>328329</v>
      </c>
      <c r="E7" s="4">
        <f t="shared" si="1"/>
        <v>188132517</v>
      </c>
      <c r="F7" s="4">
        <f t="shared" si="2"/>
        <v>107799932241</v>
      </c>
      <c r="G7" s="4">
        <f t="shared" si="3"/>
        <v>286500</v>
      </c>
      <c r="H7" s="4">
        <f t="shared" si="4"/>
        <v>164164500</v>
      </c>
    </row>
    <row r="8" spans="1:8" x14ac:dyDescent="0.2">
      <c r="A8" s="4">
        <v>4</v>
      </c>
      <c r="B8" s="4">
        <v>565</v>
      </c>
      <c r="C8" s="4">
        <v>500</v>
      </c>
      <c r="D8" s="4">
        <f t="shared" si="0"/>
        <v>319225</v>
      </c>
      <c r="E8" s="4">
        <f t="shared" si="1"/>
        <v>180362125</v>
      </c>
      <c r="F8" s="4">
        <f t="shared" si="2"/>
        <v>101904600625</v>
      </c>
      <c r="G8" s="4">
        <f t="shared" si="3"/>
        <v>282500</v>
      </c>
      <c r="H8" s="4">
        <f t="shared" si="4"/>
        <v>159612500</v>
      </c>
    </row>
    <row r="9" spans="1:8" x14ac:dyDescent="0.2">
      <c r="A9" s="4">
        <v>5</v>
      </c>
      <c r="B9" s="4">
        <v>572</v>
      </c>
      <c r="C9" s="4">
        <v>500</v>
      </c>
      <c r="D9" s="4">
        <f t="shared" si="0"/>
        <v>327184</v>
      </c>
      <c r="E9" s="4">
        <f t="shared" si="1"/>
        <v>187149248</v>
      </c>
      <c r="F9" s="4">
        <f t="shared" si="2"/>
        <v>107049369856</v>
      </c>
      <c r="G9" s="4">
        <f t="shared" si="3"/>
        <v>286000</v>
      </c>
      <c r="H9" s="4">
        <f t="shared" si="4"/>
        <v>163592000</v>
      </c>
    </row>
    <row r="10" spans="1:8" x14ac:dyDescent="0.2">
      <c r="A10" s="4">
        <v>6</v>
      </c>
      <c r="B10" s="4">
        <v>549</v>
      </c>
      <c r="C10" s="4">
        <v>500</v>
      </c>
      <c r="D10" s="4">
        <f t="shared" si="0"/>
        <v>301401</v>
      </c>
      <c r="E10" s="4">
        <f t="shared" si="1"/>
        <v>165469149</v>
      </c>
      <c r="F10" s="4">
        <f t="shared" si="2"/>
        <v>90842562801</v>
      </c>
      <c r="G10" s="4">
        <f t="shared" si="3"/>
        <v>274500</v>
      </c>
      <c r="H10" s="4">
        <f t="shared" si="4"/>
        <v>150700500</v>
      </c>
    </row>
    <row r="11" spans="1:8" x14ac:dyDescent="0.2">
      <c r="A11" s="4">
        <v>7</v>
      </c>
      <c r="B11" s="4">
        <v>550</v>
      </c>
      <c r="C11" s="4">
        <v>500</v>
      </c>
      <c r="D11" s="4">
        <f t="shared" si="0"/>
        <v>302500</v>
      </c>
      <c r="E11" s="4">
        <f t="shared" si="1"/>
        <v>166375000</v>
      </c>
      <c r="F11" s="4">
        <f t="shared" si="2"/>
        <v>91506250000</v>
      </c>
      <c r="G11" s="4">
        <f t="shared" si="3"/>
        <v>275000</v>
      </c>
      <c r="H11" s="4">
        <f t="shared" si="4"/>
        <v>151250000</v>
      </c>
    </row>
    <row r="12" spans="1:8" x14ac:dyDescent="0.2">
      <c r="A12" s="4">
        <v>8</v>
      </c>
      <c r="B12" s="4">
        <v>553</v>
      </c>
      <c r="C12" s="4">
        <v>500</v>
      </c>
      <c r="D12" s="4">
        <f t="shared" si="0"/>
        <v>305809</v>
      </c>
      <c r="E12" s="4">
        <f t="shared" si="1"/>
        <v>169112377</v>
      </c>
      <c r="F12" s="4">
        <f t="shared" si="2"/>
        <v>93519144481</v>
      </c>
      <c r="G12" s="4">
        <f t="shared" si="3"/>
        <v>276500</v>
      </c>
      <c r="H12" s="4">
        <f t="shared" si="4"/>
        <v>152904500</v>
      </c>
    </row>
    <row r="13" spans="1:8" x14ac:dyDescent="0.2">
      <c r="A13" s="4">
        <v>9</v>
      </c>
      <c r="B13" s="4">
        <v>551</v>
      </c>
      <c r="C13" s="4">
        <v>500</v>
      </c>
      <c r="D13" s="4">
        <f t="shared" si="0"/>
        <v>303601</v>
      </c>
      <c r="E13" s="4">
        <f t="shared" si="1"/>
        <v>167284151</v>
      </c>
      <c r="F13" s="4">
        <f t="shared" si="2"/>
        <v>92173567201</v>
      </c>
      <c r="G13" s="4">
        <f t="shared" si="3"/>
        <v>275500</v>
      </c>
      <c r="H13" s="4">
        <f t="shared" si="4"/>
        <v>151800500</v>
      </c>
    </row>
    <row r="14" spans="1:8" x14ac:dyDescent="0.2">
      <c r="A14" s="4">
        <v>10</v>
      </c>
      <c r="B14" s="4">
        <v>549</v>
      </c>
      <c r="C14" s="4">
        <v>500</v>
      </c>
      <c r="D14" s="4">
        <f t="shared" si="0"/>
        <v>301401</v>
      </c>
      <c r="E14" s="4">
        <f t="shared" si="1"/>
        <v>165469149</v>
      </c>
      <c r="F14" s="4">
        <f t="shared" si="2"/>
        <v>90842562801</v>
      </c>
      <c r="G14" s="4">
        <f t="shared" si="3"/>
        <v>274500</v>
      </c>
      <c r="H14" s="4">
        <f t="shared" si="4"/>
        <v>150700500</v>
      </c>
    </row>
    <row r="15" spans="1:8" x14ac:dyDescent="0.2">
      <c r="A15" s="4">
        <v>11</v>
      </c>
      <c r="B15" s="4">
        <v>586</v>
      </c>
      <c r="C15" s="4">
        <v>500</v>
      </c>
      <c r="D15" s="4">
        <f t="shared" si="0"/>
        <v>343396</v>
      </c>
      <c r="E15" s="4">
        <f t="shared" si="1"/>
        <v>201230056</v>
      </c>
      <c r="F15" s="4">
        <f t="shared" si="2"/>
        <v>117920812816</v>
      </c>
      <c r="G15" s="4">
        <f t="shared" si="3"/>
        <v>293000</v>
      </c>
      <c r="H15" s="4">
        <f t="shared" si="4"/>
        <v>171698000</v>
      </c>
    </row>
    <row r="16" spans="1:8" x14ac:dyDescent="0.2">
      <c r="A16" s="4">
        <v>12</v>
      </c>
      <c r="B16" s="4">
        <v>594</v>
      </c>
      <c r="C16" s="4">
        <v>500</v>
      </c>
      <c r="D16" s="4">
        <f t="shared" si="0"/>
        <v>352836</v>
      </c>
      <c r="E16" s="4">
        <f t="shared" si="1"/>
        <v>209584584</v>
      </c>
      <c r="F16" s="4">
        <f t="shared" si="2"/>
        <v>124493242896</v>
      </c>
      <c r="G16" s="4">
        <f t="shared" si="3"/>
        <v>297000</v>
      </c>
      <c r="H16" s="4">
        <f t="shared" si="4"/>
        <v>176418000</v>
      </c>
    </row>
    <row r="17" spans="1:8" x14ac:dyDescent="0.2">
      <c r="A17" s="4">
        <v>13</v>
      </c>
      <c r="B17" s="4">
        <v>586</v>
      </c>
      <c r="C17" s="4">
        <v>500</v>
      </c>
      <c r="D17" s="4">
        <f t="shared" si="0"/>
        <v>343396</v>
      </c>
      <c r="E17" s="4">
        <f t="shared" si="1"/>
        <v>201230056</v>
      </c>
      <c r="F17" s="4">
        <f t="shared" si="2"/>
        <v>117920812816</v>
      </c>
      <c r="G17" s="4">
        <f t="shared" si="3"/>
        <v>293000</v>
      </c>
      <c r="H17" s="4">
        <f t="shared" si="4"/>
        <v>171698000</v>
      </c>
    </row>
    <row r="18" spans="1:8" x14ac:dyDescent="0.2">
      <c r="A18" s="4">
        <v>14</v>
      </c>
      <c r="B18" s="4">
        <v>550</v>
      </c>
      <c r="C18" s="4">
        <v>500</v>
      </c>
      <c r="D18" s="4">
        <f t="shared" si="0"/>
        <v>302500</v>
      </c>
      <c r="E18" s="4">
        <f t="shared" si="1"/>
        <v>166375000</v>
      </c>
      <c r="F18" s="4">
        <f t="shared" si="2"/>
        <v>91506250000</v>
      </c>
      <c r="G18" s="4">
        <f t="shared" si="3"/>
        <v>275000</v>
      </c>
      <c r="H18" s="4">
        <f t="shared" si="4"/>
        <v>151250000</v>
      </c>
    </row>
    <row r="19" spans="1:8" x14ac:dyDescent="0.2">
      <c r="A19" s="4">
        <v>15</v>
      </c>
      <c r="B19" s="4">
        <v>551</v>
      </c>
      <c r="C19" s="4">
        <v>500</v>
      </c>
      <c r="D19" s="4">
        <f t="shared" si="0"/>
        <v>303601</v>
      </c>
      <c r="E19" s="4">
        <f t="shared" si="1"/>
        <v>167284151</v>
      </c>
      <c r="F19" s="4">
        <f t="shared" si="2"/>
        <v>92173567201</v>
      </c>
      <c r="G19" s="4">
        <f t="shared" si="3"/>
        <v>275500</v>
      </c>
      <c r="H19" s="4">
        <f t="shared" si="4"/>
        <v>151800500</v>
      </c>
    </row>
    <row r="20" spans="1:8" x14ac:dyDescent="0.2">
      <c r="A20" s="4">
        <v>16</v>
      </c>
      <c r="B20" s="4">
        <v>565</v>
      </c>
      <c r="C20" s="4">
        <v>500</v>
      </c>
      <c r="D20" s="4">
        <f t="shared" si="0"/>
        <v>319225</v>
      </c>
      <c r="E20" s="4">
        <f t="shared" si="1"/>
        <v>180362125</v>
      </c>
      <c r="F20" s="4">
        <f t="shared" si="2"/>
        <v>101904600625</v>
      </c>
      <c r="G20" s="4">
        <f t="shared" si="3"/>
        <v>282500</v>
      </c>
      <c r="H20" s="4">
        <f t="shared" si="4"/>
        <v>159612500</v>
      </c>
    </row>
    <row r="21" spans="1:8" x14ac:dyDescent="0.2">
      <c r="A21" s="4">
        <v>17</v>
      </c>
      <c r="B21" s="4">
        <v>559</v>
      </c>
      <c r="C21" s="4">
        <v>500</v>
      </c>
      <c r="D21" s="4">
        <f t="shared" si="0"/>
        <v>312481</v>
      </c>
      <c r="E21" s="4">
        <f t="shared" si="1"/>
        <v>174676879</v>
      </c>
      <c r="F21" s="4">
        <f t="shared" si="2"/>
        <v>97644375361</v>
      </c>
      <c r="G21" s="4">
        <f t="shared" si="3"/>
        <v>279500</v>
      </c>
      <c r="H21" s="4">
        <f t="shared" si="4"/>
        <v>156240500</v>
      </c>
    </row>
    <row r="22" spans="1:8" x14ac:dyDescent="0.2">
      <c r="A22" s="4">
        <v>18</v>
      </c>
      <c r="B22" s="4">
        <v>549</v>
      </c>
      <c r="C22" s="4">
        <v>500</v>
      </c>
      <c r="D22" s="4">
        <f t="shared" si="0"/>
        <v>301401</v>
      </c>
      <c r="E22" s="4">
        <f t="shared" si="1"/>
        <v>165469149</v>
      </c>
      <c r="F22" s="4">
        <f t="shared" si="2"/>
        <v>90842562801</v>
      </c>
      <c r="G22" s="4">
        <f t="shared" si="3"/>
        <v>274500</v>
      </c>
      <c r="H22" s="4">
        <f t="shared" si="4"/>
        <v>150700500</v>
      </c>
    </row>
    <row r="23" spans="1:8" x14ac:dyDescent="0.2">
      <c r="A23" s="4">
        <v>19</v>
      </c>
      <c r="B23" s="4">
        <v>547</v>
      </c>
      <c r="C23" s="4">
        <v>500</v>
      </c>
      <c r="D23" s="4">
        <f t="shared" si="0"/>
        <v>299209</v>
      </c>
      <c r="E23" s="4">
        <f t="shared" si="1"/>
        <v>163667323</v>
      </c>
      <c r="F23" s="4">
        <f t="shared" si="2"/>
        <v>89526025681</v>
      </c>
      <c r="G23" s="4">
        <f t="shared" si="3"/>
        <v>273500</v>
      </c>
      <c r="H23" s="4">
        <f t="shared" si="4"/>
        <v>149604500</v>
      </c>
    </row>
    <row r="24" spans="1:8" x14ac:dyDescent="0.2">
      <c r="A24" s="4">
        <v>20</v>
      </c>
      <c r="B24" s="4">
        <v>550</v>
      </c>
      <c r="C24" s="4">
        <v>500</v>
      </c>
      <c r="D24" s="4">
        <f t="shared" si="0"/>
        <v>302500</v>
      </c>
      <c r="E24" s="4">
        <f t="shared" si="1"/>
        <v>166375000</v>
      </c>
      <c r="F24" s="4">
        <f t="shared" si="2"/>
        <v>91506250000</v>
      </c>
      <c r="G24" s="4">
        <f t="shared" si="3"/>
        <v>275000</v>
      </c>
      <c r="H24" s="4">
        <f t="shared" si="4"/>
        <v>151250000</v>
      </c>
    </row>
    <row r="25" spans="1:8" x14ac:dyDescent="0.2">
      <c r="A25" s="4">
        <v>21</v>
      </c>
      <c r="B25" s="4">
        <v>547</v>
      </c>
      <c r="C25" s="4">
        <v>700</v>
      </c>
      <c r="D25" s="4">
        <f t="shared" si="0"/>
        <v>299209</v>
      </c>
      <c r="E25" s="4">
        <f t="shared" si="1"/>
        <v>163667323</v>
      </c>
      <c r="F25" s="4">
        <f t="shared" si="2"/>
        <v>89526025681</v>
      </c>
      <c r="G25" s="4">
        <f t="shared" si="3"/>
        <v>382900</v>
      </c>
      <c r="H25" s="4">
        <f t="shared" si="4"/>
        <v>209446300</v>
      </c>
    </row>
    <row r="26" spans="1:8" x14ac:dyDescent="0.2">
      <c r="A26" s="4">
        <v>22</v>
      </c>
      <c r="B26" s="4">
        <v>548</v>
      </c>
      <c r="C26" s="4">
        <v>700</v>
      </c>
      <c r="D26" s="4">
        <f t="shared" si="0"/>
        <v>300304</v>
      </c>
      <c r="E26" s="4">
        <f t="shared" si="1"/>
        <v>164566592</v>
      </c>
      <c r="F26" s="4">
        <f t="shared" si="2"/>
        <v>90182492416</v>
      </c>
      <c r="G26" s="4">
        <f t="shared" si="3"/>
        <v>383600</v>
      </c>
      <c r="H26" s="4">
        <f t="shared" si="4"/>
        <v>210212800</v>
      </c>
    </row>
    <row r="27" spans="1:8" x14ac:dyDescent="0.2">
      <c r="A27" s="4">
        <v>23</v>
      </c>
      <c r="B27" s="4">
        <v>548</v>
      </c>
      <c r="C27" s="4">
        <v>700</v>
      </c>
      <c r="D27" s="4">
        <f t="shared" si="0"/>
        <v>300304</v>
      </c>
      <c r="E27" s="4">
        <f t="shared" si="1"/>
        <v>164566592</v>
      </c>
      <c r="F27" s="4">
        <f t="shared" si="2"/>
        <v>90182492416</v>
      </c>
      <c r="G27" s="4">
        <f t="shared" si="3"/>
        <v>383600</v>
      </c>
      <c r="H27" s="4">
        <f t="shared" si="4"/>
        <v>210212800</v>
      </c>
    </row>
    <row r="28" spans="1:8" x14ac:dyDescent="0.2">
      <c r="A28" s="4">
        <v>24</v>
      </c>
      <c r="B28" s="4">
        <v>550</v>
      </c>
      <c r="C28" s="4">
        <v>700</v>
      </c>
      <c r="D28" s="4">
        <f t="shared" si="0"/>
        <v>302500</v>
      </c>
      <c r="E28" s="4">
        <f t="shared" si="1"/>
        <v>166375000</v>
      </c>
      <c r="F28" s="4">
        <f t="shared" si="2"/>
        <v>91506250000</v>
      </c>
      <c r="G28" s="4">
        <f t="shared" si="3"/>
        <v>385000</v>
      </c>
      <c r="H28" s="4">
        <f t="shared" si="4"/>
        <v>211750000</v>
      </c>
    </row>
    <row r="29" spans="1:8" x14ac:dyDescent="0.2">
      <c r="A29" s="4">
        <v>25</v>
      </c>
      <c r="B29" s="4">
        <v>546</v>
      </c>
      <c r="C29" s="4">
        <v>700</v>
      </c>
      <c r="D29" s="4">
        <f t="shared" si="0"/>
        <v>298116</v>
      </c>
      <c r="E29" s="4">
        <f t="shared" si="1"/>
        <v>162771336</v>
      </c>
      <c r="F29" s="4">
        <f t="shared" si="2"/>
        <v>88873149456</v>
      </c>
      <c r="G29" s="4">
        <f t="shared" si="3"/>
        <v>382200</v>
      </c>
      <c r="H29" s="4">
        <f t="shared" si="4"/>
        <v>208681200</v>
      </c>
    </row>
    <row r="30" spans="1:8" x14ac:dyDescent="0.2">
      <c r="A30" s="4">
        <v>26</v>
      </c>
      <c r="B30" s="4">
        <v>547</v>
      </c>
      <c r="C30" s="4">
        <v>700</v>
      </c>
      <c r="D30" s="4">
        <f t="shared" si="0"/>
        <v>299209</v>
      </c>
      <c r="E30" s="4">
        <f t="shared" si="1"/>
        <v>163667323</v>
      </c>
      <c r="F30" s="4">
        <f t="shared" si="2"/>
        <v>89526025681</v>
      </c>
      <c r="G30" s="4">
        <f t="shared" si="3"/>
        <v>382900</v>
      </c>
      <c r="H30" s="4">
        <f t="shared" si="4"/>
        <v>209446300</v>
      </c>
    </row>
    <row r="31" spans="1:8" x14ac:dyDescent="0.2">
      <c r="A31" s="4">
        <v>27</v>
      </c>
      <c r="B31" s="4">
        <v>545</v>
      </c>
      <c r="C31" s="4">
        <v>700</v>
      </c>
      <c r="D31" s="4">
        <f t="shared" si="0"/>
        <v>297025</v>
      </c>
      <c r="E31" s="4">
        <f t="shared" si="1"/>
        <v>161878625</v>
      </c>
      <c r="F31" s="4">
        <f t="shared" si="2"/>
        <v>88223850625</v>
      </c>
      <c r="G31" s="4">
        <f t="shared" si="3"/>
        <v>381500</v>
      </c>
      <c r="H31" s="4">
        <f t="shared" si="4"/>
        <v>207917500</v>
      </c>
    </row>
    <row r="32" spans="1:8" x14ac:dyDescent="0.2">
      <c r="A32" s="4">
        <v>28</v>
      </c>
      <c r="B32" s="4">
        <v>770</v>
      </c>
      <c r="C32" s="4">
        <v>700</v>
      </c>
      <c r="D32" s="4">
        <f t="shared" si="0"/>
        <v>592900</v>
      </c>
      <c r="E32" s="4">
        <f t="shared" si="1"/>
        <v>456533000</v>
      </c>
      <c r="F32" s="4">
        <f t="shared" si="2"/>
        <v>351530410000</v>
      </c>
      <c r="G32" s="4">
        <f t="shared" si="3"/>
        <v>539000</v>
      </c>
      <c r="H32" s="4">
        <f t="shared" si="4"/>
        <v>415030000</v>
      </c>
    </row>
    <row r="33" spans="1:8" x14ac:dyDescent="0.2">
      <c r="A33" s="4">
        <v>29</v>
      </c>
      <c r="B33" s="4">
        <v>765</v>
      </c>
      <c r="C33" s="4">
        <v>700</v>
      </c>
      <c r="D33" s="4">
        <f t="shared" si="0"/>
        <v>585225</v>
      </c>
      <c r="E33" s="4">
        <f t="shared" si="1"/>
        <v>447697125</v>
      </c>
      <c r="F33" s="4">
        <f t="shared" si="2"/>
        <v>342488300625</v>
      </c>
      <c r="G33" s="4">
        <f t="shared" si="3"/>
        <v>535500</v>
      </c>
      <c r="H33" s="4">
        <f t="shared" si="4"/>
        <v>409657500</v>
      </c>
    </row>
    <row r="34" spans="1:8" x14ac:dyDescent="0.2">
      <c r="A34" s="4">
        <v>30</v>
      </c>
      <c r="B34" s="4">
        <v>783</v>
      </c>
      <c r="C34" s="4">
        <v>700</v>
      </c>
      <c r="D34" s="4">
        <f t="shared" si="0"/>
        <v>613089</v>
      </c>
      <c r="E34" s="4">
        <f t="shared" si="1"/>
        <v>480048687</v>
      </c>
      <c r="F34" s="4">
        <f t="shared" si="2"/>
        <v>375878121921</v>
      </c>
      <c r="G34" s="4">
        <f t="shared" si="3"/>
        <v>548100</v>
      </c>
      <c r="H34" s="4">
        <f t="shared" si="4"/>
        <v>429162300</v>
      </c>
    </row>
    <row r="35" spans="1:8" x14ac:dyDescent="0.2">
      <c r="A35" s="4">
        <v>31</v>
      </c>
      <c r="B35" s="4">
        <v>782</v>
      </c>
      <c r="C35" s="4">
        <v>700</v>
      </c>
      <c r="D35" s="4">
        <f t="shared" si="0"/>
        <v>611524</v>
      </c>
      <c r="E35" s="4">
        <f t="shared" si="1"/>
        <v>478211768</v>
      </c>
      <c r="F35" s="4">
        <f t="shared" si="2"/>
        <v>373961602576</v>
      </c>
      <c r="G35" s="4">
        <f t="shared" si="3"/>
        <v>547400</v>
      </c>
      <c r="H35" s="4">
        <f t="shared" si="4"/>
        <v>428066800</v>
      </c>
    </row>
    <row r="36" spans="1:8" x14ac:dyDescent="0.2">
      <c r="A36" s="4">
        <v>32</v>
      </c>
      <c r="B36" s="4">
        <v>782</v>
      </c>
      <c r="C36" s="4">
        <v>700</v>
      </c>
      <c r="D36" s="4">
        <f t="shared" si="0"/>
        <v>611524</v>
      </c>
      <c r="E36" s="4">
        <f t="shared" si="1"/>
        <v>478211768</v>
      </c>
      <c r="F36" s="4">
        <f t="shared" si="2"/>
        <v>373961602576</v>
      </c>
      <c r="G36" s="4">
        <f t="shared" si="3"/>
        <v>547400</v>
      </c>
      <c r="H36" s="4">
        <f t="shared" si="4"/>
        <v>428066800</v>
      </c>
    </row>
    <row r="37" spans="1:8" x14ac:dyDescent="0.2">
      <c r="A37" s="4">
        <v>33</v>
      </c>
      <c r="B37" s="4">
        <v>823</v>
      </c>
      <c r="C37" s="4">
        <v>700</v>
      </c>
      <c r="D37" s="4">
        <f t="shared" si="0"/>
        <v>677329</v>
      </c>
      <c r="E37" s="4">
        <f t="shared" si="1"/>
        <v>557441767</v>
      </c>
      <c r="F37" s="4">
        <f t="shared" si="2"/>
        <v>458774574241</v>
      </c>
      <c r="G37" s="4">
        <f t="shared" si="3"/>
        <v>576100</v>
      </c>
      <c r="H37" s="4">
        <f t="shared" si="4"/>
        <v>474130300</v>
      </c>
    </row>
    <row r="38" spans="1:8" x14ac:dyDescent="0.2">
      <c r="A38" s="4">
        <v>34</v>
      </c>
      <c r="B38" s="4">
        <v>817</v>
      </c>
      <c r="C38" s="4">
        <v>700</v>
      </c>
      <c r="D38" s="4">
        <f t="shared" si="0"/>
        <v>667489</v>
      </c>
      <c r="E38" s="4">
        <f t="shared" si="1"/>
        <v>545338513</v>
      </c>
      <c r="F38" s="4">
        <f t="shared" si="2"/>
        <v>445541565121</v>
      </c>
      <c r="G38" s="4">
        <f t="shared" si="3"/>
        <v>571900</v>
      </c>
      <c r="H38" s="4">
        <f t="shared" si="4"/>
        <v>467242300</v>
      </c>
    </row>
    <row r="39" spans="1:8" x14ac:dyDescent="0.2">
      <c r="A39" s="4">
        <v>35</v>
      </c>
      <c r="B39" s="4">
        <v>800</v>
      </c>
      <c r="C39" s="4">
        <v>700</v>
      </c>
      <c r="D39" s="4">
        <f t="shared" si="0"/>
        <v>640000</v>
      </c>
      <c r="E39" s="4">
        <f t="shared" si="1"/>
        <v>512000000</v>
      </c>
      <c r="F39" s="4">
        <f t="shared" si="2"/>
        <v>409600000000</v>
      </c>
      <c r="G39" s="4">
        <f t="shared" si="3"/>
        <v>560000</v>
      </c>
      <c r="H39" s="4">
        <f t="shared" si="4"/>
        <v>448000000</v>
      </c>
    </row>
    <row r="40" spans="1:8" x14ac:dyDescent="0.2">
      <c r="A40" s="4">
        <v>36</v>
      </c>
      <c r="B40" s="4">
        <v>788</v>
      </c>
      <c r="C40" s="4">
        <v>700</v>
      </c>
      <c r="D40" s="4">
        <f t="shared" si="0"/>
        <v>620944</v>
      </c>
      <c r="E40" s="4">
        <f t="shared" si="1"/>
        <v>489303872</v>
      </c>
      <c r="F40" s="4">
        <f t="shared" si="2"/>
        <v>385571451136</v>
      </c>
      <c r="G40" s="4">
        <f t="shared" si="3"/>
        <v>551600</v>
      </c>
      <c r="H40" s="4">
        <f t="shared" si="4"/>
        <v>434660800</v>
      </c>
    </row>
    <row r="41" spans="1:8" x14ac:dyDescent="0.2">
      <c r="A41" s="4">
        <v>37</v>
      </c>
      <c r="B41" s="4">
        <v>719</v>
      </c>
      <c r="C41" s="4">
        <v>700</v>
      </c>
      <c r="D41" s="4">
        <f t="shared" si="0"/>
        <v>516961</v>
      </c>
      <c r="E41" s="4">
        <f t="shared" si="1"/>
        <v>371694959</v>
      </c>
      <c r="F41" s="4">
        <f t="shared" si="2"/>
        <v>267248675521</v>
      </c>
      <c r="G41" s="4">
        <f t="shared" si="3"/>
        <v>503300</v>
      </c>
      <c r="H41" s="4">
        <f t="shared" si="4"/>
        <v>361872700</v>
      </c>
    </row>
    <row r="42" spans="1:8" x14ac:dyDescent="0.2">
      <c r="A42" s="4">
        <v>38</v>
      </c>
      <c r="B42" s="4">
        <v>841</v>
      </c>
      <c r="C42" s="4">
        <v>700</v>
      </c>
      <c r="D42" s="4">
        <f t="shared" si="0"/>
        <v>707281</v>
      </c>
      <c r="E42" s="4">
        <f t="shared" si="1"/>
        <v>594823321</v>
      </c>
      <c r="F42" s="4">
        <f t="shared" si="2"/>
        <v>500246412961</v>
      </c>
      <c r="G42" s="4">
        <f t="shared" si="3"/>
        <v>588700</v>
      </c>
      <c r="H42" s="4">
        <f t="shared" si="4"/>
        <v>495096700</v>
      </c>
    </row>
    <row r="43" spans="1:8" x14ac:dyDescent="0.2">
      <c r="A43" s="4">
        <v>39</v>
      </c>
      <c r="B43" s="4">
        <v>860</v>
      </c>
      <c r="C43" s="4">
        <v>700</v>
      </c>
      <c r="D43" s="4">
        <f t="shared" si="0"/>
        <v>739600</v>
      </c>
      <c r="E43" s="4">
        <f t="shared" si="1"/>
        <v>636056000</v>
      </c>
      <c r="F43" s="4">
        <f t="shared" si="2"/>
        <v>547008160000</v>
      </c>
      <c r="G43" s="4">
        <f t="shared" si="3"/>
        <v>602000</v>
      </c>
      <c r="H43" s="4">
        <f t="shared" si="4"/>
        <v>517720000</v>
      </c>
    </row>
    <row r="44" spans="1:8" x14ac:dyDescent="0.2">
      <c r="A44" s="4">
        <v>40</v>
      </c>
      <c r="B44" s="4">
        <v>819</v>
      </c>
      <c r="C44" s="4">
        <v>700</v>
      </c>
      <c r="D44" s="4">
        <f t="shared" si="0"/>
        <v>670761</v>
      </c>
      <c r="E44" s="4">
        <f t="shared" si="1"/>
        <v>549353259</v>
      </c>
      <c r="F44" s="4">
        <f t="shared" si="2"/>
        <v>449920319121</v>
      </c>
      <c r="G44" s="4">
        <f t="shared" si="3"/>
        <v>573300</v>
      </c>
      <c r="H44" s="4">
        <f t="shared" si="4"/>
        <v>469532700</v>
      </c>
    </row>
    <row r="45" spans="1:8" x14ac:dyDescent="0.2">
      <c r="A45" s="7" t="s">
        <v>16</v>
      </c>
      <c r="B45" s="7">
        <f t="shared" ref="B45:H45" si="5">SUM(B5:B44)</f>
        <v>25416</v>
      </c>
      <c r="C45" s="7">
        <f t="shared" si="5"/>
        <v>24000</v>
      </c>
      <c r="D45" s="7">
        <f t="shared" si="5"/>
        <v>16667678</v>
      </c>
      <c r="E45" s="7">
        <f t="shared" si="5"/>
        <v>11297292132</v>
      </c>
      <c r="F45" s="7">
        <f t="shared" si="5"/>
        <v>7909743159398</v>
      </c>
      <c r="G45" s="7">
        <f t="shared" si="5"/>
        <v>15544000</v>
      </c>
      <c r="H45" s="7">
        <f t="shared" si="5"/>
        <v>10404097800</v>
      </c>
    </row>
    <row r="48" spans="1:8" x14ac:dyDescent="0.2">
      <c r="A48" s="6" t="s">
        <v>17</v>
      </c>
    </row>
    <row r="49" spans="1:6" x14ac:dyDescent="0.2">
      <c r="A49" s="6" t="s">
        <v>18</v>
      </c>
      <c r="B49">
        <f>((B2*G45)-(B45*C45)) / ((B2*D45)-(B45^2))</f>
        <v>0.56795426116172887</v>
      </c>
    </row>
    <row r="50" spans="1:6" x14ac:dyDescent="0.2">
      <c r="A50" s="6" t="s">
        <v>19</v>
      </c>
      <c r="B50">
        <f>(C45-B49*B45)/B2</f>
        <v>239.12186245783747</v>
      </c>
    </row>
    <row r="53" spans="1:6" x14ac:dyDescent="0.2">
      <c r="A53" s="6" t="s">
        <v>20</v>
      </c>
    </row>
    <row r="54" spans="1:6" x14ac:dyDescent="0.2">
      <c r="A54" s="6" t="s">
        <v>21</v>
      </c>
    </row>
    <row r="55" spans="1:6" x14ac:dyDescent="0.2">
      <c r="B55" s="8" t="s">
        <v>7</v>
      </c>
      <c r="C55" s="8" t="s">
        <v>22</v>
      </c>
      <c r="D55" s="8" t="s">
        <v>23</v>
      </c>
      <c r="F55" s="6" t="s">
        <v>24</v>
      </c>
    </row>
    <row r="56" spans="1:6" x14ac:dyDescent="0.2">
      <c r="A56" t="s">
        <v>25</v>
      </c>
      <c r="B56">
        <f>B2</f>
        <v>40</v>
      </c>
      <c r="C56">
        <f>B45</f>
        <v>25416</v>
      </c>
      <c r="D56">
        <f>D45</f>
        <v>16667678</v>
      </c>
      <c r="F56">
        <f>C45</f>
        <v>24000</v>
      </c>
    </row>
    <row r="57" spans="1:6" x14ac:dyDescent="0.2">
      <c r="A57" t="s">
        <v>26</v>
      </c>
      <c r="B57">
        <f>B45</f>
        <v>25416</v>
      </c>
      <c r="C57">
        <f>D45</f>
        <v>16667678</v>
      </c>
      <c r="D57">
        <f>E45</f>
        <v>11297292132</v>
      </c>
      <c r="F57">
        <f>G45</f>
        <v>15544000</v>
      </c>
    </row>
    <row r="58" spans="1:6" x14ac:dyDescent="0.2">
      <c r="A58" t="s">
        <v>27</v>
      </c>
      <c r="B58">
        <f>D45</f>
        <v>16667678</v>
      </c>
      <c r="C58">
        <f>E45</f>
        <v>11297292132</v>
      </c>
      <c r="D58">
        <f>F45</f>
        <v>7909743159398</v>
      </c>
      <c r="F58">
        <f>H45</f>
        <v>10404097800</v>
      </c>
    </row>
    <row r="60" spans="1:6" x14ac:dyDescent="0.2">
      <c r="A60" s="6" t="s">
        <v>28</v>
      </c>
    </row>
    <row r="61" spans="1:6" x14ac:dyDescent="0.2">
      <c r="A61" s="6" t="s">
        <v>29</v>
      </c>
      <c r="B61">
        <f>INDEX(MMULT(MINVERSE(B56:D58),F56:F58),1,1)</f>
        <v>1110.883535460569</v>
      </c>
    </row>
    <row r="62" spans="1:6" x14ac:dyDescent="0.2">
      <c r="A62" s="6" t="s">
        <v>30</v>
      </c>
      <c r="B62">
        <f>INDEX(MMULT(MINVERSE(B56:D58),F56:F58),2,1)</f>
        <v>-2.0758130990579957</v>
      </c>
    </row>
    <row r="63" spans="1:6" x14ac:dyDescent="0.2">
      <c r="A63" s="6" t="s">
        <v>31</v>
      </c>
      <c r="B63">
        <f>INDEX(MMULT(MINVERSE(B56:D58),F56:F58),3,1)</f>
        <v>1.9392937820885692E-3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3"/>
  <sheetViews>
    <sheetView tabSelected="1" workbookViewId="0">
      <pane ySplit="4" topLeftCell="A26" activePane="bottomLeft" state="frozen"/>
      <selection pane="bottomLeft" activeCell="D12" sqref="D12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47</v>
      </c>
    </row>
    <row r="2" spans="1:8" x14ac:dyDescent="0.2">
      <c r="A2" s="6" t="s">
        <v>7</v>
      </c>
      <c r="B2">
        <v>60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4">
        <v>1</v>
      </c>
      <c r="B5" s="4">
        <v>1368</v>
      </c>
      <c r="C5" s="4">
        <v>1000</v>
      </c>
      <c r="D5" s="4">
        <f t="shared" ref="D5:D36" si="0">B5^2</f>
        <v>1871424</v>
      </c>
      <c r="E5" s="4">
        <f t="shared" ref="E5:E36" si="1">B5^3</f>
        <v>2560108032</v>
      </c>
      <c r="F5" s="4">
        <f t="shared" ref="F5:F36" si="2">B5^4</f>
        <v>3502227787776</v>
      </c>
      <c r="G5" s="4">
        <f t="shared" ref="G5:G36" si="3">B5*C5</f>
        <v>1368000</v>
      </c>
      <c r="H5" s="4">
        <f t="shared" ref="H5:H36" si="4">D5*C5</f>
        <v>1871424000</v>
      </c>
    </row>
    <row r="6" spans="1:8" x14ac:dyDescent="0.2">
      <c r="A6" s="4">
        <v>2</v>
      </c>
      <c r="B6" s="4">
        <v>1383</v>
      </c>
      <c r="C6" s="4">
        <v>1000</v>
      </c>
      <c r="D6" s="4">
        <f t="shared" si="0"/>
        <v>1912689</v>
      </c>
      <c r="E6" s="4">
        <f t="shared" si="1"/>
        <v>2645248887</v>
      </c>
      <c r="F6" s="4">
        <f t="shared" si="2"/>
        <v>3658379210721</v>
      </c>
      <c r="G6" s="4">
        <f t="shared" si="3"/>
        <v>1383000</v>
      </c>
      <c r="H6" s="4">
        <f t="shared" si="4"/>
        <v>1912689000</v>
      </c>
    </row>
    <row r="7" spans="1:8" x14ac:dyDescent="0.2">
      <c r="A7" s="4">
        <v>3</v>
      </c>
      <c r="B7" s="4">
        <v>1364</v>
      </c>
      <c r="C7" s="4">
        <v>1000</v>
      </c>
      <c r="D7" s="4">
        <f t="shared" si="0"/>
        <v>1860496</v>
      </c>
      <c r="E7" s="4">
        <f t="shared" si="1"/>
        <v>2537716544</v>
      </c>
      <c r="F7" s="4">
        <f t="shared" si="2"/>
        <v>3461445366016</v>
      </c>
      <c r="G7" s="4">
        <f t="shared" si="3"/>
        <v>1364000</v>
      </c>
      <c r="H7" s="4">
        <f t="shared" si="4"/>
        <v>1860496000</v>
      </c>
    </row>
    <row r="8" spans="1:8" x14ac:dyDescent="0.2">
      <c r="A8" s="4">
        <v>4</v>
      </c>
      <c r="B8" s="4">
        <v>1363</v>
      </c>
      <c r="C8" s="4">
        <v>1000</v>
      </c>
      <c r="D8" s="4">
        <f t="shared" si="0"/>
        <v>1857769</v>
      </c>
      <c r="E8" s="4">
        <f t="shared" si="1"/>
        <v>2532139147</v>
      </c>
      <c r="F8" s="4">
        <f t="shared" si="2"/>
        <v>3451305657361</v>
      </c>
      <c r="G8" s="4">
        <f t="shared" si="3"/>
        <v>1363000</v>
      </c>
      <c r="H8" s="4">
        <f t="shared" si="4"/>
        <v>1857769000</v>
      </c>
    </row>
    <row r="9" spans="1:8" x14ac:dyDescent="0.2">
      <c r="A9" s="4">
        <v>5</v>
      </c>
      <c r="B9" s="4">
        <v>1360</v>
      </c>
      <c r="C9" s="4">
        <v>1000</v>
      </c>
      <c r="D9" s="4">
        <f t="shared" si="0"/>
        <v>1849600</v>
      </c>
      <c r="E9" s="4">
        <f t="shared" si="1"/>
        <v>2515456000</v>
      </c>
      <c r="F9" s="4">
        <f t="shared" si="2"/>
        <v>3421020160000</v>
      </c>
      <c r="G9" s="4">
        <f t="shared" si="3"/>
        <v>1360000</v>
      </c>
      <c r="H9" s="4">
        <f t="shared" si="4"/>
        <v>1849600000</v>
      </c>
    </row>
    <row r="10" spans="1:8" x14ac:dyDescent="0.2">
      <c r="A10" s="4">
        <v>6</v>
      </c>
      <c r="B10" s="4">
        <v>1349</v>
      </c>
      <c r="C10" s="4">
        <v>1000</v>
      </c>
      <c r="D10" s="4">
        <f t="shared" si="0"/>
        <v>1819801</v>
      </c>
      <c r="E10" s="4">
        <f t="shared" si="1"/>
        <v>2454911549</v>
      </c>
      <c r="F10" s="4">
        <f t="shared" si="2"/>
        <v>3311675679601</v>
      </c>
      <c r="G10" s="4">
        <f t="shared" si="3"/>
        <v>1349000</v>
      </c>
      <c r="H10" s="4">
        <f t="shared" si="4"/>
        <v>1819801000</v>
      </c>
    </row>
    <row r="11" spans="1:8" x14ac:dyDescent="0.2">
      <c r="A11" s="4">
        <v>7</v>
      </c>
      <c r="B11" s="4">
        <v>1365</v>
      </c>
      <c r="C11" s="4">
        <v>1000</v>
      </c>
      <c r="D11" s="4">
        <f t="shared" si="0"/>
        <v>1863225</v>
      </c>
      <c r="E11" s="4">
        <f t="shared" si="1"/>
        <v>2543302125</v>
      </c>
      <c r="F11" s="4">
        <f t="shared" si="2"/>
        <v>3471607400625</v>
      </c>
      <c r="G11" s="4">
        <f t="shared" si="3"/>
        <v>1365000</v>
      </c>
      <c r="H11" s="4">
        <f t="shared" si="4"/>
        <v>1863225000</v>
      </c>
    </row>
    <row r="12" spans="1:8" x14ac:dyDescent="0.2">
      <c r="A12" s="4">
        <v>8</v>
      </c>
      <c r="B12" s="4">
        <v>1322</v>
      </c>
      <c r="C12" s="4">
        <v>1000</v>
      </c>
      <c r="D12" s="4">
        <f t="shared" si="0"/>
        <v>1747684</v>
      </c>
      <c r="E12" s="4">
        <f t="shared" si="1"/>
        <v>2310438248</v>
      </c>
      <c r="F12" s="4">
        <f t="shared" si="2"/>
        <v>3054399363856</v>
      </c>
      <c r="G12" s="4">
        <f t="shared" si="3"/>
        <v>1322000</v>
      </c>
      <c r="H12" s="4">
        <f t="shared" si="4"/>
        <v>1747684000</v>
      </c>
    </row>
    <row r="13" spans="1:8" x14ac:dyDescent="0.2">
      <c r="A13" s="4">
        <v>9</v>
      </c>
      <c r="B13" s="4">
        <v>1358</v>
      </c>
      <c r="C13" s="4">
        <v>1000</v>
      </c>
      <c r="D13" s="4">
        <f t="shared" si="0"/>
        <v>1844164</v>
      </c>
      <c r="E13" s="4">
        <f t="shared" si="1"/>
        <v>2504374712</v>
      </c>
      <c r="F13" s="4">
        <f t="shared" si="2"/>
        <v>3400940858896</v>
      </c>
      <c r="G13" s="4">
        <f t="shared" si="3"/>
        <v>1358000</v>
      </c>
      <c r="H13" s="4">
        <f t="shared" si="4"/>
        <v>1844164000</v>
      </c>
    </row>
    <row r="14" spans="1:8" x14ac:dyDescent="0.2">
      <c r="A14" s="4">
        <v>10</v>
      </c>
      <c r="B14" s="4">
        <v>1360</v>
      </c>
      <c r="C14" s="4">
        <v>1000</v>
      </c>
      <c r="D14" s="4">
        <f t="shared" si="0"/>
        <v>1849600</v>
      </c>
      <c r="E14" s="4">
        <f t="shared" si="1"/>
        <v>2515456000</v>
      </c>
      <c r="F14" s="4">
        <f t="shared" si="2"/>
        <v>3421020160000</v>
      </c>
      <c r="G14" s="4">
        <f t="shared" si="3"/>
        <v>1360000</v>
      </c>
      <c r="H14" s="4">
        <f t="shared" si="4"/>
        <v>1849600000</v>
      </c>
    </row>
    <row r="15" spans="1:8" x14ac:dyDescent="0.2">
      <c r="A15" s="4">
        <v>11</v>
      </c>
      <c r="B15" s="4">
        <v>1321</v>
      </c>
      <c r="C15" s="4">
        <v>1000</v>
      </c>
      <c r="D15" s="4">
        <f t="shared" si="0"/>
        <v>1745041</v>
      </c>
      <c r="E15" s="4">
        <f t="shared" si="1"/>
        <v>2305199161</v>
      </c>
      <c r="F15" s="4">
        <f t="shared" si="2"/>
        <v>3045168091681</v>
      </c>
      <c r="G15" s="4">
        <f t="shared" si="3"/>
        <v>1321000</v>
      </c>
      <c r="H15" s="4">
        <f t="shared" si="4"/>
        <v>1745041000</v>
      </c>
    </row>
    <row r="16" spans="1:8" x14ac:dyDescent="0.2">
      <c r="A16" s="4">
        <v>12</v>
      </c>
      <c r="B16" s="4">
        <v>1341</v>
      </c>
      <c r="C16" s="4">
        <v>1000</v>
      </c>
      <c r="D16" s="4">
        <f t="shared" si="0"/>
        <v>1798281</v>
      </c>
      <c r="E16" s="4">
        <f t="shared" si="1"/>
        <v>2411494821</v>
      </c>
      <c r="F16" s="4">
        <f t="shared" si="2"/>
        <v>3233814554961</v>
      </c>
      <c r="G16" s="4">
        <f t="shared" si="3"/>
        <v>1341000</v>
      </c>
      <c r="H16" s="4">
        <f t="shared" si="4"/>
        <v>1798281000</v>
      </c>
    </row>
    <row r="17" spans="1:8" x14ac:dyDescent="0.2">
      <c r="A17" s="4">
        <v>13</v>
      </c>
      <c r="B17" s="4">
        <v>1314</v>
      </c>
      <c r="C17" s="4">
        <v>1000</v>
      </c>
      <c r="D17" s="4">
        <f t="shared" si="0"/>
        <v>1726596</v>
      </c>
      <c r="E17" s="4">
        <f t="shared" si="1"/>
        <v>2268747144</v>
      </c>
      <c r="F17" s="4">
        <f t="shared" si="2"/>
        <v>2981133747216</v>
      </c>
      <c r="G17" s="4">
        <f t="shared" si="3"/>
        <v>1314000</v>
      </c>
      <c r="H17" s="4">
        <f t="shared" si="4"/>
        <v>1726596000</v>
      </c>
    </row>
    <row r="18" spans="1:8" x14ac:dyDescent="0.2">
      <c r="A18" s="4">
        <v>14</v>
      </c>
      <c r="B18" s="4">
        <v>1321</v>
      </c>
      <c r="C18" s="4">
        <v>1000</v>
      </c>
      <c r="D18" s="4">
        <f t="shared" si="0"/>
        <v>1745041</v>
      </c>
      <c r="E18" s="4">
        <f t="shared" si="1"/>
        <v>2305199161</v>
      </c>
      <c r="F18" s="4">
        <f t="shared" si="2"/>
        <v>3045168091681</v>
      </c>
      <c r="G18" s="4">
        <f t="shared" si="3"/>
        <v>1321000</v>
      </c>
      <c r="H18" s="4">
        <f t="shared" si="4"/>
        <v>1745041000</v>
      </c>
    </row>
    <row r="19" spans="1:8" x14ac:dyDescent="0.2">
      <c r="A19" s="4">
        <v>15</v>
      </c>
      <c r="B19" s="4">
        <v>1378</v>
      </c>
      <c r="C19" s="4">
        <v>1000</v>
      </c>
      <c r="D19" s="4">
        <f t="shared" si="0"/>
        <v>1898884</v>
      </c>
      <c r="E19" s="4">
        <f t="shared" si="1"/>
        <v>2616662152</v>
      </c>
      <c r="F19" s="4">
        <f t="shared" si="2"/>
        <v>3605760445456</v>
      </c>
      <c r="G19" s="4">
        <f t="shared" si="3"/>
        <v>1378000</v>
      </c>
      <c r="H19" s="4">
        <f t="shared" si="4"/>
        <v>1898884000</v>
      </c>
    </row>
    <row r="20" spans="1:8" x14ac:dyDescent="0.2">
      <c r="A20" s="4">
        <v>16</v>
      </c>
      <c r="B20" s="4">
        <v>1378</v>
      </c>
      <c r="C20" s="4">
        <v>1000</v>
      </c>
      <c r="D20" s="4">
        <f t="shared" si="0"/>
        <v>1898884</v>
      </c>
      <c r="E20" s="4">
        <f t="shared" si="1"/>
        <v>2616662152</v>
      </c>
      <c r="F20" s="4">
        <f t="shared" si="2"/>
        <v>3605760445456</v>
      </c>
      <c r="G20" s="4">
        <f t="shared" si="3"/>
        <v>1378000</v>
      </c>
      <c r="H20" s="4">
        <f t="shared" si="4"/>
        <v>1898884000</v>
      </c>
    </row>
    <row r="21" spans="1:8" x14ac:dyDescent="0.2">
      <c r="A21" s="4">
        <v>17</v>
      </c>
      <c r="B21" s="4">
        <v>1378</v>
      </c>
      <c r="C21" s="4">
        <v>1000</v>
      </c>
      <c r="D21" s="4">
        <f t="shared" si="0"/>
        <v>1898884</v>
      </c>
      <c r="E21" s="4">
        <f t="shared" si="1"/>
        <v>2616662152</v>
      </c>
      <c r="F21" s="4">
        <f t="shared" si="2"/>
        <v>3605760445456</v>
      </c>
      <c r="G21" s="4">
        <f t="shared" si="3"/>
        <v>1378000</v>
      </c>
      <c r="H21" s="4">
        <f t="shared" si="4"/>
        <v>1898884000</v>
      </c>
    </row>
    <row r="22" spans="1:8" x14ac:dyDescent="0.2">
      <c r="A22" s="4">
        <v>18</v>
      </c>
      <c r="B22" s="4">
        <v>1422</v>
      </c>
      <c r="C22" s="4">
        <v>1000</v>
      </c>
      <c r="D22" s="4">
        <f t="shared" si="0"/>
        <v>2022084</v>
      </c>
      <c r="E22" s="4">
        <f t="shared" si="1"/>
        <v>2875403448</v>
      </c>
      <c r="F22" s="4">
        <f t="shared" si="2"/>
        <v>4088823703056</v>
      </c>
      <c r="G22" s="4">
        <f t="shared" si="3"/>
        <v>1422000</v>
      </c>
      <c r="H22" s="4">
        <f t="shared" si="4"/>
        <v>2022084000</v>
      </c>
    </row>
    <row r="23" spans="1:8" x14ac:dyDescent="0.2">
      <c r="A23" s="4">
        <v>19</v>
      </c>
      <c r="B23" s="4">
        <v>1398</v>
      </c>
      <c r="C23" s="4">
        <v>1000</v>
      </c>
      <c r="D23" s="4">
        <f t="shared" si="0"/>
        <v>1954404</v>
      </c>
      <c r="E23" s="4">
        <f t="shared" si="1"/>
        <v>2732256792</v>
      </c>
      <c r="F23" s="4">
        <f t="shared" si="2"/>
        <v>3819694995216</v>
      </c>
      <c r="G23" s="4">
        <f t="shared" si="3"/>
        <v>1398000</v>
      </c>
      <c r="H23" s="4">
        <f t="shared" si="4"/>
        <v>1954404000</v>
      </c>
    </row>
    <row r="24" spans="1:8" x14ac:dyDescent="0.2">
      <c r="A24" s="4">
        <v>20</v>
      </c>
      <c r="B24" s="4">
        <v>1396</v>
      </c>
      <c r="C24" s="4">
        <v>1000</v>
      </c>
      <c r="D24" s="4">
        <f t="shared" si="0"/>
        <v>1948816</v>
      </c>
      <c r="E24" s="4">
        <f t="shared" si="1"/>
        <v>2720547136</v>
      </c>
      <c r="F24" s="4">
        <f t="shared" si="2"/>
        <v>3797883801856</v>
      </c>
      <c r="G24" s="4">
        <f t="shared" si="3"/>
        <v>1396000</v>
      </c>
      <c r="H24" s="4">
        <f t="shared" si="4"/>
        <v>1948816000</v>
      </c>
    </row>
    <row r="25" spans="1:8" x14ac:dyDescent="0.2">
      <c r="A25" s="4">
        <v>21</v>
      </c>
      <c r="B25" s="4">
        <v>2243</v>
      </c>
      <c r="C25" s="4">
        <v>2000</v>
      </c>
      <c r="D25" s="4">
        <f t="shared" si="0"/>
        <v>5031049</v>
      </c>
      <c r="E25" s="4">
        <f t="shared" si="1"/>
        <v>11284642907</v>
      </c>
      <c r="F25" s="4">
        <f t="shared" si="2"/>
        <v>25311454040401</v>
      </c>
      <c r="G25" s="4">
        <f t="shared" si="3"/>
        <v>4486000</v>
      </c>
      <c r="H25" s="4">
        <f t="shared" si="4"/>
        <v>10062098000</v>
      </c>
    </row>
    <row r="26" spans="1:8" x14ac:dyDescent="0.2">
      <c r="A26" s="4">
        <v>22</v>
      </c>
      <c r="B26" s="4">
        <v>2243</v>
      </c>
      <c r="C26" s="4">
        <v>2000</v>
      </c>
      <c r="D26" s="4">
        <f t="shared" si="0"/>
        <v>5031049</v>
      </c>
      <c r="E26" s="4">
        <f t="shared" si="1"/>
        <v>11284642907</v>
      </c>
      <c r="F26" s="4">
        <f t="shared" si="2"/>
        <v>25311454040401</v>
      </c>
      <c r="G26" s="4">
        <f t="shared" si="3"/>
        <v>4486000</v>
      </c>
      <c r="H26" s="4">
        <f t="shared" si="4"/>
        <v>10062098000</v>
      </c>
    </row>
    <row r="27" spans="1:8" x14ac:dyDescent="0.2">
      <c r="A27" s="4">
        <v>23</v>
      </c>
      <c r="B27" s="4">
        <v>2136</v>
      </c>
      <c r="C27" s="4">
        <v>2000</v>
      </c>
      <c r="D27" s="4">
        <f t="shared" si="0"/>
        <v>4562496</v>
      </c>
      <c r="E27" s="4">
        <f t="shared" si="1"/>
        <v>9745491456</v>
      </c>
      <c r="F27" s="4">
        <f t="shared" si="2"/>
        <v>20816369750016</v>
      </c>
      <c r="G27" s="4">
        <f t="shared" si="3"/>
        <v>4272000</v>
      </c>
      <c r="H27" s="4">
        <f t="shared" si="4"/>
        <v>9124992000</v>
      </c>
    </row>
    <row r="28" spans="1:8" x14ac:dyDescent="0.2">
      <c r="A28" s="4">
        <v>24</v>
      </c>
      <c r="B28" s="4">
        <v>2136</v>
      </c>
      <c r="C28" s="4">
        <v>2000</v>
      </c>
      <c r="D28" s="4">
        <f t="shared" si="0"/>
        <v>4562496</v>
      </c>
      <c r="E28" s="4">
        <f t="shared" si="1"/>
        <v>9745491456</v>
      </c>
      <c r="F28" s="4">
        <f t="shared" si="2"/>
        <v>20816369750016</v>
      </c>
      <c r="G28" s="4">
        <f t="shared" si="3"/>
        <v>4272000</v>
      </c>
      <c r="H28" s="4">
        <f t="shared" si="4"/>
        <v>9124992000</v>
      </c>
    </row>
    <row r="29" spans="1:8" x14ac:dyDescent="0.2">
      <c r="A29" s="4">
        <v>25</v>
      </c>
      <c r="B29" s="4">
        <v>2136</v>
      </c>
      <c r="C29" s="4">
        <v>2000</v>
      </c>
      <c r="D29" s="4">
        <f t="shared" si="0"/>
        <v>4562496</v>
      </c>
      <c r="E29" s="4">
        <f t="shared" si="1"/>
        <v>9745491456</v>
      </c>
      <c r="F29" s="4">
        <f t="shared" si="2"/>
        <v>20816369750016</v>
      </c>
      <c r="G29" s="4">
        <f t="shared" si="3"/>
        <v>4272000</v>
      </c>
      <c r="H29" s="4">
        <f t="shared" si="4"/>
        <v>9124992000</v>
      </c>
    </row>
    <row r="30" spans="1:8" x14ac:dyDescent="0.2">
      <c r="A30" s="4">
        <v>26</v>
      </c>
      <c r="B30" s="4">
        <v>2136</v>
      </c>
      <c r="C30" s="4">
        <v>2000</v>
      </c>
      <c r="D30" s="4">
        <f t="shared" si="0"/>
        <v>4562496</v>
      </c>
      <c r="E30" s="4">
        <f t="shared" si="1"/>
        <v>9745491456</v>
      </c>
      <c r="F30" s="4">
        <f t="shared" si="2"/>
        <v>20816369750016</v>
      </c>
      <c r="G30" s="4">
        <f t="shared" si="3"/>
        <v>4272000</v>
      </c>
      <c r="H30" s="4">
        <f t="shared" si="4"/>
        <v>9124992000</v>
      </c>
    </row>
    <row r="31" spans="1:8" x14ac:dyDescent="0.2">
      <c r="A31" s="4">
        <v>27</v>
      </c>
      <c r="B31" s="4">
        <v>2136</v>
      </c>
      <c r="C31" s="4">
        <v>2000</v>
      </c>
      <c r="D31" s="4">
        <f t="shared" si="0"/>
        <v>4562496</v>
      </c>
      <c r="E31" s="4">
        <f t="shared" si="1"/>
        <v>9745491456</v>
      </c>
      <c r="F31" s="4">
        <f t="shared" si="2"/>
        <v>20816369750016</v>
      </c>
      <c r="G31" s="4">
        <f t="shared" si="3"/>
        <v>4272000</v>
      </c>
      <c r="H31" s="4">
        <f t="shared" si="4"/>
        <v>9124992000</v>
      </c>
    </row>
    <row r="32" spans="1:8" x14ac:dyDescent="0.2">
      <c r="A32" s="4">
        <v>28</v>
      </c>
      <c r="B32" s="4">
        <v>2136</v>
      </c>
      <c r="C32" s="4">
        <v>2000</v>
      </c>
      <c r="D32" s="4">
        <f t="shared" si="0"/>
        <v>4562496</v>
      </c>
      <c r="E32" s="4">
        <f t="shared" si="1"/>
        <v>9745491456</v>
      </c>
      <c r="F32" s="4">
        <f t="shared" si="2"/>
        <v>20816369750016</v>
      </c>
      <c r="G32" s="4">
        <f t="shared" si="3"/>
        <v>4272000</v>
      </c>
      <c r="H32" s="4">
        <f t="shared" si="4"/>
        <v>9124992000</v>
      </c>
    </row>
    <row r="33" spans="1:8" x14ac:dyDescent="0.2">
      <c r="A33" s="4">
        <v>29</v>
      </c>
      <c r="B33" s="4">
        <v>2136</v>
      </c>
      <c r="C33" s="4">
        <v>2000</v>
      </c>
      <c r="D33" s="4">
        <f t="shared" si="0"/>
        <v>4562496</v>
      </c>
      <c r="E33" s="4">
        <f t="shared" si="1"/>
        <v>9745491456</v>
      </c>
      <c r="F33" s="4">
        <f t="shared" si="2"/>
        <v>20816369750016</v>
      </c>
      <c r="G33" s="4">
        <f t="shared" si="3"/>
        <v>4272000</v>
      </c>
      <c r="H33" s="4">
        <f t="shared" si="4"/>
        <v>9124992000</v>
      </c>
    </row>
    <row r="34" spans="1:8" x14ac:dyDescent="0.2">
      <c r="A34" s="4">
        <v>30</v>
      </c>
      <c r="B34" s="4">
        <v>2136</v>
      </c>
      <c r="C34" s="4">
        <v>2000</v>
      </c>
      <c r="D34" s="4">
        <f t="shared" si="0"/>
        <v>4562496</v>
      </c>
      <c r="E34" s="4">
        <f t="shared" si="1"/>
        <v>9745491456</v>
      </c>
      <c r="F34" s="4">
        <f t="shared" si="2"/>
        <v>20816369750016</v>
      </c>
      <c r="G34" s="4">
        <f t="shared" si="3"/>
        <v>4272000</v>
      </c>
      <c r="H34" s="4">
        <f t="shared" si="4"/>
        <v>9124992000</v>
      </c>
    </row>
    <row r="35" spans="1:8" x14ac:dyDescent="0.2">
      <c r="A35" s="4">
        <v>31</v>
      </c>
      <c r="B35" s="4">
        <v>2136</v>
      </c>
      <c r="C35" s="4">
        <v>2000</v>
      </c>
      <c r="D35" s="4">
        <f t="shared" si="0"/>
        <v>4562496</v>
      </c>
      <c r="E35" s="4">
        <f t="shared" si="1"/>
        <v>9745491456</v>
      </c>
      <c r="F35" s="4">
        <f t="shared" si="2"/>
        <v>20816369750016</v>
      </c>
      <c r="G35" s="4">
        <f t="shared" si="3"/>
        <v>4272000</v>
      </c>
      <c r="H35" s="4">
        <f t="shared" si="4"/>
        <v>9124992000</v>
      </c>
    </row>
    <row r="36" spans="1:8" x14ac:dyDescent="0.2">
      <c r="A36" s="4">
        <v>32</v>
      </c>
      <c r="B36" s="4">
        <v>2136</v>
      </c>
      <c r="C36" s="4">
        <v>2000</v>
      </c>
      <c r="D36" s="4">
        <f t="shared" si="0"/>
        <v>4562496</v>
      </c>
      <c r="E36" s="4">
        <f t="shared" si="1"/>
        <v>9745491456</v>
      </c>
      <c r="F36" s="4">
        <f t="shared" si="2"/>
        <v>20816369750016</v>
      </c>
      <c r="G36" s="4">
        <f t="shared" si="3"/>
        <v>4272000</v>
      </c>
      <c r="H36" s="4">
        <f t="shared" si="4"/>
        <v>9124992000</v>
      </c>
    </row>
    <row r="37" spans="1:8" x14ac:dyDescent="0.2">
      <c r="A37" s="4">
        <v>33</v>
      </c>
      <c r="B37" s="4">
        <v>2136</v>
      </c>
      <c r="C37" s="4">
        <v>2000</v>
      </c>
      <c r="D37" s="4">
        <f t="shared" ref="D37:D64" si="5">B37^2</f>
        <v>4562496</v>
      </c>
      <c r="E37" s="4">
        <f t="shared" ref="E37:E64" si="6">B37^3</f>
        <v>9745491456</v>
      </c>
      <c r="F37" s="4">
        <f t="shared" ref="F37:F64" si="7">B37^4</f>
        <v>20816369750016</v>
      </c>
      <c r="G37" s="4">
        <f t="shared" ref="G37:G64" si="8">B37*C37</f>
        <v>4272000</v>
      </c>
      <c r="H37" s="4">
        <f t="shared" ref="H37:H64" si="9">D37*C37</f>
        <v>9124992000</v>
      </c>
    </row>
    <row r="38" spans="1:8" x14ac:dyDescent="0.2">
      <c r="A38" s="4">
        <v>34</v>
      </c>
      <c r="B38" s="4">
        <v>2136</v>
      </c>
      <c r="C38" s="4">
        <v>2000</v>
      </c>
      <c r="D38" s="4">
        <f t="shared" si="5"/>
        <v>4562496</v>
      </c>
      <c r="E38" s="4">
        <f t="shared" si="6"/>
        <v>9745491456</v>
      </c>
      <c r="F38" s="4">
        <f t="shared" si="7"/>
        <v>20816369750016</v>
      </c>
      <c r="G38" s="4">
        <f t="shared" si="8"/>
        <v>4272000</v>
      </c>
      <c r="H38" s="4">
        <f t="shared" si="9"/>
        <v>9124992000</v>
      </c>
    </row>
    <row r="39" spans="1:8" x14ac:dyDescent="0.2">
      <c r="A39" s="4">
        <v>35</v>
      </c>
      <c r="B39" s="4">
        <v>2136</v>
      </c>
      <c r="C39" s="4">
        <v>2000</v>
      </c>
      <c r="D39" s="4">
        <f t="shared" si="5"/>
        <v>4562496</v>
      </c>
      <c r="E39" s="4">
        <f t="shared" si="6"/>
        <v>9745491456</v>
      </c>
      <c r="F39" s="4">
        <f t="shared" si="7"/>
        <v>20816369750016</v>
      </c>
      <c r="G39" s="4">
        <f t="shared" si="8"/>
        <v>4272000</v>
      </c>
      <c r="H39" s="4">
        <f t="shared" si="9"/>
        <v>9124992000</v>
      </c>
    </row>
    <row r="40" spans="1:8" x14ac:dyDescent="0.2">
      <c r="A40" s="4">
        <v>36</v>
      </c>
      <c r="B40" s="4">
        <v>2136</v>
      </c>
      <c r="C40" s="4">
        <v>2000</v>
      </c>
      <c r="D40" s="4">
        <f t="shared" si="5"/>
        <v>4562496</v>
      </c>
      <c r="E40" s="4">
        <f t="shared" si="6"/>
        <v>9745491456</v>
      </c>
      <c r="F40" s="4">
        <f t="shared" si="7"/>
        <v>20816369750016</v>
      </c>
      <c r="G40" s="4">
        <f t="shared" si="8"/>
        <v>4272000</v>
      </c>
      <c r="H40" s="4">
        <f t="shared" si="9"/>
        <v>9124992000</v>
      </c>
    </row>
    <row r="41" spans="1:8" x14ac:dyDescent="0.2">
      <c r="A41" s="4">
        <v>37</v>
      </c>
      <c r="B41" s="4">
        <v>2136</v>
      </c>
      <c r="C41" s="4">
        <v>2000</v>
      </c>
      <c r="D41" s="4">
        <f t="shared" si="5"/>
        <v>4562496</v>
      </c>
      <c r="E41" s="4">
        <f t="shared" si="6"/>
        <v>9745491456</v>
      </c>
      <c r="F41" s="4">
        <f t="shared" si="7"/>
        <v>20816369750016</v>
      </c>
      <c r="G41" s="4">
        <f t="shared" si="8"/>
        <v>4272000</v>
      </c>
      <c r="H41" s="4">
        <f t="shared" si="9"/>
        <v>9124992000</v>
      </c>
    </row>
    <row r="42" spans="1:8" x14ac:dyDescent="0.2">
      <c r="A42" s="4">
        <v>38</v>
      </c>
      <c r="B42" s="4">
        <v>2136</v>
      </c>
      <c r="C42" s="4">
        <v>2000</v>
      </c>
      <c r="D42" s="4">
        <f t="shared" si="5"/>
        <v>4562496</v>
      </c>
      <c r="E42" s="4">
        <f t="shared" si="6"/>
        <v>9745491456</v>
      </c>
      <c r="F42" s="4">
        <f t="shared" si="7"/>
        <v>20816369750016</v>
      </c>
      <c r="G42" s="4">
        <f t="shared" si="8"/>
        <v>4272000</v>
      </c>
      <c r="H42" s="4">
        <f t="shared" si="9"/>
        <v>9124992000</v>
      </c>
    </row>
    <row r="43" spans="1:8" x14ac:dyDescent="0.2">
      <c r="A43" s="4">
        <v>39</v>
      </c>
      <c r="B43" s="4">
        <v>2136</v>
      </c>
      <c r="C43" s="4">
        <v>2000</v>
      </c>
      <c r="D43" s="4">
        <f t="shared" si="5"/>
        <v>4562496</v>
      </c>
      <c r="E43" s="4">
        <f t="shared" si="6"/>
        <v>9745491456</v>
      </c>
      <c r="F43" s="4">
        <f t="shared" si="7"/>
        <v>20816369750016</v>
      </c>
      <c r="G43" s="4">
        <f t="shared" si="8"/>
        <v>4272000</v>
      </c>
      <c r="H43" s="4">
        <f t="shared" si="9"/>
        <v>9124992000</v>
      </c>
    </row>
    <row r="44" spans="1:8" x14ac:dyDescent="0.2">
      <c r="A44" s="4">
        <v>40</v>
      </c>
      <c r="B44" s="4">
        <v>2136</v>
      </c>
      <c r="C44" s="4">
        <v>2000</v>
      </c>
      <c r="D44" s="4">
        <f t="shared" si="5"/>
        <v>4562496</v>
      </c>
      <c r="E44" s="4">
        <f t="shared" si="6"/>
        <v>9745491456</v>
      </c>
      <c r="F44" s="4">
        <f t="shared" si="7"/>
        <v>20816369750016</v>
      </c>
      <c r="G44" s="4">
        <f t="shared" si="8"/>
        <v>4272000</v>
      </c>
      <c r="H44" s="4">
        <f t="shared" si="9"/>
        <v>9124992000</v>
      </c>
    </row>
    <row r="45" spans="1:8" x14ac:dyDescent="0.2">
      <c r="A45" s="4">
        <v>41</v>
      </c>
      <c r="B45" s="4">
        <v>2936</v>
      </c>
      <c r="C45" s="4">
        <v>3000</v>
      </c>
      <c r="D45" s="4">
        <f t="shared" si="5"/>
        <v>8620096</v>
      </c>
      <c r="E45" s="4">
        <f t="shared" si="6"/>
        <v>25308601856</v>
      </c>
      <c r="F45" s="4">
        <f t="shared" si="7"/>
        <v>74306055049216</v>
      </c>
      <c r="G45" s="4">
        <f t="shared" si="8"/>
        <v>8808000</v>
      </c>
      <c r="H45" s="4">
        <f t="shared" si="9"/>
        <v>25860288000</v>
      </c>
    </row>
    <row r="46" spans="1:8" x14ac:dyDescent="0.2">
      <c r="A46" s="4">
        <v>42</v>
      </c>
      <c r="B46" s="4">
        <v>2911</v>
      </c>
      <c r="C46" s="4">
        <v>3000</v>
      </c>
      <c r="D46" s="4">
        <f t="shared" si="5"/>
        <v>8473921</v>
      </c>
      <c r="E46" s="4">
        <f t="shared" si="6"/>
        <v>24667584031</v>
      </c>
      <c r="F46" s="4">
        <f t="shared" si="7"/>
        <v>71807337114241</v>
      </c>
      <c r="G46" s="4">
        <f t="shared" si="8"/>
        <v>8733000</v>
      </c>
      <c r="H46" s="4">
        <f t="shared" si="9"/>
        <v>25421763000</v>
      </c>
    </row>
    <row r="47" spans="1:8" x14ac:dyDescent="0.2">
      <c r="A47" s="4">
        <v>43</v>
      </c>
      <c r="B47" s="4">
        <v>2911</v>
      </c>
      <c r="C47" s="4">
        <v>3000</v>
      </c>
      <c r="D47" s="4">
        <f t="shared" si="5"/>
        <v>8473921</v>
      </c>
      <c r="E47" s="4">
        <f t="shared" si="6"/>
        <v>24667584031</v>
      </c>
      <c r="F47" s="4">
        <f t="shared" si="7"/>
        <v>71807337114241</v>
      </c>
      <c r="G47" s="4">
        <f t="shared" si="8"/>
        <v>8733000</v>
      </c>
      <c r="H47" s="4">
        <f t="shared" si="9"/>
        <v>25421763000</v>
      </c>
    </row>
    <row r="48" spans="1:8" x14ac:dyDescent="0.2">
      <c r="A48" s="4">
        <v>44</v>
      </c>
      <c r="B48" s="4">
        <v>2911</v>
      </c>
      <c r="C48" s="4">
        <v>3000</v>
      </c>
      <c r="D48" s="4">
        <f t="shared" si="5"/>
        <v>8473921</v>
      </c>
      <c r="E48" s="4">
        <f t="shared" si="6"/>
        <v>24667584031</v>
      </c>
      <c r="F48" s="4">
        <f t="shared" si="7"/>
        <v>71807337114241</v>
      </c>
      <c r="G48" s="4">
        <f t="shared" si="8"/>
        <v>8733000</v>
      </c>
      <c r="H48" s="4">
        <f t="shared" si="9"/>
        <v>25421763000</v>
      </c>
    </row>
    <row r="49" spans="1:8" x14ac:dyDescent="0.2">
      <c r="A49" s="4">
        <v>45</v>
      </c>
      <c r="B49" s="4">
        <v>2911</v>
      </c>
      <c r="C49" s="4">
        <v>3000</v>
      </c>
      <c r="D49" s="4">
        <f t="shared" si="5"/>
        <v>8473921</v>
      </c>
      <c r="E49" s="4">
        <f t="shared" si="6"/>
        <v>24667584031</v>
      </c>
      <c r="F49" s="4">
        <f t="shared" si="7"/>
        <v>71807337114241</v>
      </c>
      <c r="G49" s="4">
        <f t="shared" si="8"/>
        <v>8733000</v>
      </c>
      <c r="H49" s="4">
        <f t="shared" si="9"/>
        <v>25421763000</v>
      </c>
    </row>
    <row r="50" spans="1:8" x14ac:dyDescent="0.2">
      <c r="A50" s="4">
        <v>46</v>
      </c>
      <c r="B50" s="4">
        <v>2911</v>
      </c>
      <c r="C50" s="4">
        <v>3000</v>
      </c>
      <c r="D50" s="4">
        <f t="shared" si="5"/>
        <v>8473921</v>
      </c>
      <c r="E50" s="4">
        <f t="shared" si="6"/>
        <v>24667584031</v>
      </c>
      <c r="F50" s="4">
        <f t="shared" si="7"/>
        <v>71807337114241</v>
      </c>
      <c r="G50" s="4">
        <f t="shared" si="8"/>
        <v>8733000</v>
      </c>
      <c r="H50" s="4">
        <f t="shared" si="9"/>
        <v>25421763000</v>
      </c>
    </row>
    <row r="51" spans="1:8" x14ac:dyDescent="0.2">
      <c r="A51" s="4">
        <v>47</v>
      </c>
      <c r="B51" s="4">
        <v>2911</v>
      </c>
      <c r="C51" s="4">
        <v>3000</v>
      </c>
      <c r="D51" s="4">
        <f t="shared" si="5"/>
        <v>8473921</v>
      </c>
      <c r="E51" s="4">
        <f t="shared" si="6"/>
        <v>24667584031</v>
      </c>
      <c r="F51" s="4">
        <f t="shared" si="7"/>
        <v>71807337114241</v>
      </c>
      <c r="G51" s="4">
        <f t="shared" si="8"/>
        <v>8733000</v>
      </c>
      <c r="H51" s="4">
        <f t="shared" si="9"/>
        <v>25421763000</v>
      </c>
    </row>
    <row r="52" spans="1:8" x14ac:dyDescent="0.2">
      <c r="A52" s="4">
        <v>48</v>
      </c>
      <c r="B52" s="4">
        <v>2911</v>
      </c>
      <c r="C52" s="4">
        <v>3000</v>
      </c>
      <c r="D52" s="4">
        <f t="shared" si="5"/>
        <v>8473921</v>
      </c>
      <c r="E52" s="4">
        <f t="shared" si="6"/>
        <v>24667584031</v>
      </c>
      <c r="F52" s="4">
        <f t="shared" si="7"/>
        <v>71807337114241</v>
      </c>
      <c r="G52" s="4">
        <f t="shared" si="8"/>
        <v>8733000</v>
      </c>
      <c r="H52" s="4">
        <f t="shared" si="9"/>
        <v>25421763000</v>
      </c>
    </row>
    <row r="53" spans="1:8" x14ac:dyDescent="0.2">
      <c r="A53" s="4">
        <v>49</v>
      </c>
      <c r="B53" s="4">
        <v>2911</v>
      </c>
      <c r="C53" s="4">
        <v>3000</v>
      </c>
      <c r="D53" s="4">
        <f t="shared" si="5"/>
        <v>8473921</v>
      </c>
      <c r="E53" s="4">
        <f t="shared" si="6"/>
        <v>24667584031</v>
      </c>
      <c r="F53" s="4">
        <f t="shared" si="7"/>
        <v>71807337114241</v>
      </c>
      <c r="G53" s="4">
        <f t="shared" si="8"/>
        <v>8733000</v>
      </c>
      <c r="H53" s="4">
        <f t="shared" si="9"/>
        <v>25421763000</v>
      </c>
    </row>
    <row r="54" spans="1:8" x14ac:dyDescent="0.2">
      <c r="A54" s="4">
        <v>50</v>
      </c>
      <c r="B54" s="4">
        <v>2911</v>
      </c>
      <c r="C54" s="4">
        <v>3000</v>
      </c>
      <c r="D54" s="4">
        <f t="shared" si="5"/>
        <v>8473921</v>
      </c>
      <c r="E54" s="4">
        <f t="shared" si="6"/>
        <v>24667584031</v>
      </c>
      <c r="F54" s="4">
        <f t="shared" si="7"/>
        <v>71807337114241</v>
      </c>
      <c r="G54" s="4">
        <f t="shared" si="8"/>
        <v>8733000</v>
      </c>
      <c r="H54" s="4">
        <f t="shared" si="9"/>
        <v>25421763000</v>
      </c>
    </row>
    <row r="55" spans="1:8" x14ac:dyDescent="0.2">
      <c r="A55" s="4">
        <v>51</v>
      </c>
      <c r="B55" s="4">
        <v>2911</v>
      </c>
      <c r="C55" s="4">
        <v>3000</v>
      </c>
      <c r="D55" s="4">
        <f t="shared" si="5"/>
        <v>8473921</v>
      </c>
      <c r="E55" s="4">
        <f t="shared" si="6"/>
        <v>24667584031</v>
      </c>
      <c r="F55" s="4">
        <f t="shared" si="7"/>
        <v>71807337114241</v>
      </c>
      <c r="G55" s="4">
        <f t="shared" si="8"/>
        <v>8733000</v>
      </c>
      <c r="H55" s="4">
        <f t="shared" si="9"/>
        <v>25421763000</v>
      </c>
    </row>
    <row r="56" spans="1:8" x14ac:dyDescent="0.2">
      <c r="A56" s="4">
        <v>52</v>
      </c>
      <c r="B56" s="4">
        <v>2911</v>
      </c>
      <c r="C56" s="4">
        <v>3000</v>
      </c>
      <c r="D56" s="4">
        <f t="shared" si="5"/>
        <v>8473921</v>
      </c>
      <c r="E56" s="4">
        <f t="shared" si="6"/>
        <v>24667584031</v>
      </c>
      <c r="F56" s="4">
        <f t="shared" si="7"/>
        <v>71807337114241</v>
      </c>
      <c r="G56" s="4">
        <f t="shared" si="8"/>
        <v>8733000</v>
      </c>
      <c r="H56" s="4">
        <f t="shared" si="9"/>
        <v>25421763000</v>
      </c>
    </row>
    <row r="57" spans="1:8" x14ac:dyDescent="0.2">
      <c r="A57" s="4">
        <v>53</v>
      </c>
      <c r="B57" s="4">
        <v>2911</v>
      </c>
      <c r="C57" s="4">
        <v>3000</v>
      </c>
      <c r="D57" s="4">
        <f t="shared" si="5"/>
        <v>8473921</v>
      </c>
      <c r="E57" s="4">
        <f t="shared" si="6"/>
        <v>24667584031</v>
      </c>
      <c r="F57" s="4">
        <f t="shared" si="7"/>
        <v>71807337114241</v>
      </c>
      <c r="G57" s="4">
        <f t="shared" si="8"/>
        <v>8733000</v>
      </c>
      <c r="H57" s="4">
        <f t="shared" si="9"/>
        <v>25421763000</v>
      </c>
    </row>
    <row r="58" spans="1:8" x14ac:dyDescent="0.2">
      <c r="A58" s="4">
        <v>54</v>
      </c>
      <c r="B58" s="4">
        <v>2911</v>
      </c>
      <c r="C58" s="4">
        <v>3000</v>
      </c>
      <c r="D58" s="4">
        <f t="shared" si="5"/>
        <v>8473921</v>
      </c>
      <c r="E58" s="4">
        <f t="shared" si="6"/>
        <v>24667584031</v>
      </c>
      <c r="F58" s="4">
        <f t="shared" si="7"/>
        <v>71807337114241</v>
      </c>
      <c r="G58" s="4">
        <f t="shared" si="8"/>
        <v>8733000</v>
      </c>
      <c r="H58" s="4">
        <f t="shared" si="9"/>
        <v>25421763000</v>
      </c>
    </row>
    <row r="59" spans="1:8" x14ac:dyDescent="0.2">
      <c r="A59" s="4">
        <v>55</v>
      </c>
      <c r="B59" s="4">
        <v>2911</v>
      </c>
      <c r="C59" s="4">
        <v>3000</v>
      </c>
      <c r="D59" s="4">
        <f t="shared" si="5"/>
        <v>8473921</v>
      </c>
      <c r="E59" s="4">
        <f t="shared" si="6"/>
        <v>24667584031</v>
      </c>
      <c r="F59" s="4">
        <f t="shared" si="7"/>
        <v>71807337114241</v>
      </c>
      <c r="G59" s="4">
        <f t="shared" si="8"/>
        <v>8733000</v>
      </c>
      <c r="H59" s="4">
        <f t="shared" si="9"/>
        <v>25421763000</v>
      </c>
    </row>
    <row r="60" spans="1:8" x14ac:dyDescent="0.2">
      <c r="A60" s="4">
        <v>56</v>
      </c>
      <c r="B60" s="4">
        <v>2911</v>
      </c>
      <c r="C60" s="4">
        <v>3000</v>
      </c>
      <c r="D60" s="4">
        <f t="shared" si="5"/>
        <v>8473921</v>
      </c>
      <c r="E60" s="4">
        <f t="shared" si="6"/>
        <v>24667584031</v>
      </c>
      <c r="F60" s="4">
        <f t="shared" si="7"/>
        <v>71807337114241</v>
      </c>
      <c r="G60" s="4">
        <f t="shared" si="8"/>
        <v>8733000</v>
      </c>
      <c r="H60" s="4">
        <f t="shared" si="9"/>
        <v>25421763000</v>
      </c>
    </row>
    <row r="61" spans="1:8" x14ac:dyDescent="0.2">
      <c r="A61" s="4">
        <v>57</v>
      </c>
      <c r="B61" s="4">
        <v>2911</v>
      </c>
      <c r="C61" s="4">
        <v>3000</v>
      </c>
      <c r="D61" s="4">
        <f t="shared" si="5"/>
        <v>8473921</v>
      </c>
      <c r="E61" s="4">
        <f t="shared" si="6"/>
        <v>24667584031</v>
      </c>
      <c r="F61" s="4">
        <f t="shared" si="7"/>
        <v>71807337114241</v>
      </c>
      <c r="G61" s="4">
        <f t="shared" si="8"/>
        <v>8733000</v>
      </c>
      <c r="H61" s="4">
        <f t="shared" si="9"/>
        <v>25421763000</v>
      </c>
    </row>
    <row r="62" spans="1:8" x14ac:dyDescent="0.2">
      <c r="A62" s="4">
        <v>58</v>
      </c>
      <c r="B62" s="4">
        <v>2911</v>
      </c>
      <c r="C62" s="4">
        <v>3000</v>
      </c>
      <c r="D62" s="4">
        <f t="shared" si="5"/>
        <v>8473921</v>
      </c>
      <c r="E62" s="4">
        <f t="shared" si="6"/>
        <v>24667584031</v>
      </c>
      <c r="F62" s="4">
        <f t="shared" si="7"/>
        <v>71807337114241</v>
      </c>
      <c r="G62" s="4">
        <f t="shared" si="8"/>
        <v>8733000</v>
      </c>
      <c r="H62" s="4">
        <f t="shared" si="9"/>
        <v>25421763000</v>
      </c>
    </row>
    <row r="63" spans="1:8" x14ac:dyDescent="0.2">
      <c r="A63" s="4">
        <v>59</v>
      </c>
      <c r="B63" s="4">
        <v>2911</v>
      </c>
      <c r="C63" s="4">
        <v>3000</v>
      </c>
      <c r="D63" s="4">
        <f t="shared" si="5"/>
        <v>8473921</v>
      </c>
      <c r="E63" s="4">
        <f t="shared" si="6"/>
        <v>24667584031</v>
      </c>
      <c r="F63" s="4">
        <f t="shared" si="7"/>
        <v>71807337114241</v>
      </c>
      <c r="G63" s="4">
        <f t="shared" si="8"/>
        <v>8733000</v>
      </c>
      <c r="H63" s="4">
        <f t="shared" si="9"/>
        <v>25421763000</v>
      </c>
    </row>
    <row r="64" spans="1:8" x14ac:dyDescent="0.2">
      <c r="A64" s="4">
        <v>60</v>
      </c>
      <c r="B64" s="4">
        <v>2911</v>
      </c>
      <c r="C64" s="4">
        <v>3000</v>
      </c>
      <c r="D64" s="4">
        <f t="shared" si="5"/>
        <v>8473921</v>
      </c>
      <c r="E64" s="4">
        <f t="shared" si="6"/>
        <v>24667584031</v>
      </c>
      <c r="F64" s="4">
        <f t="shared" si="7"/>
        <v>71807337114241</v>
      </c>
      <c r="G64" s="4">
        <f t="shared" si="8"/>
        <v>8733000</v>
      </c>
      <c r="H64" s="4">
        <f t="shared" si="9"/>
        <v>25421763000</v>
      </c>
    </row>
    <row r="65" spans="1:8" x14ac:dyDescent="0.2">
      <c r="A65" s="7" t="s">
        <v>16</v>
      </c>
      <c r="B65" s="7">
        <f t="shared" ref="B65:H65" si="10">SUM(B5:B64)</f>
        <v>128418</v>
      </c>
      <c r="C65" s="7">
        <f t="shared" si="10"/>
        <v>120000</v>
      </c>
      <c r="D65" s="7">
        <f t="shared" si="10"/>
        <v>298924988</v>
      </c>
      <c r="E65" s="7">
        <f t="shared" si="10"/>
        <v>742568815830</v>
      </c>
      <c r="F65" s="7">
        <f t="shared" si="10"/>
        <v>1932946013767772</v>
      </c>
      <c r="G65" s="7">
        <f t="shared" si="10"/>
        <v>287842000</v>
      </c>
      <c r="H65" s="7">
        <f t="shared" si="10"/>
        <v>730361204000</v>
      </c>
    </row>
    <row r="68" spans="1:8" x14ac:dyDescent="0.2">
      <c r="A68" s="6" t="s">
        <v>17</v>
      </c>
    </row>
    <row r="69" spans="1:8" x14ac:dyDescent="0.2">
      <c r="A69" s="6" t="s">
        <v>18</v>
      </c>
      <c r="B69">
        <f>((B2*G65)-(B65*C65)) / ((B2*D65)-(B65^2))</f>
        <v>1.2880555805246894</v>
      </c>
    </row>
    <row r="70" spans="1:8" x14ac:dyDescent="0.2">
      <c r="A70" s="6" t="s">
        <v>19</v>
      </c>
      <c r="B70">
        <f>(C65-B69*B65)/B2</f>
        <v>-756.82535899699292</v>
      </c>
    </row>
    <row r="73" spans="1:8" x14ac:dyDescent="0.2">
      <c r="A73" s="6" t="s">
        <v>20</v>
      </c>
    </row>
    <row r="74" spans="1:8" x14ac:dyDescent="0.2">
      <c r="A74" s="6" t="s">
        <v>21</v>
      </c>
    </row>
    <row r="75" spans="1:8" x14ac:dyDescent="0.2">
      <c r="B75" s="8" t="s">
        <v>7</v>
      </c>
      <c r="C75" s="8" t="s">
        <v>22</v>
      </c>
      <c r="D75" s="8" t="s">
        <v>23</v>
      </c>
      <c r="F75" s="6" t="s">
        <v>24</v>
      </c>
    </row>
    <row r="76" spans="1:8" x14ac:dyDescent="0.2">
      <c r="A76" t="s">
        <v>25</v>
      </c>
      <c r="B76">
        <f>B2</f>
        <v>60</v>
      </c>
      <c r="C76">
        <f>B65</f>
        <v>128418</v>
      </c>
      <c r="D76">
        <f>D65</f>
        <v>298924988</v>
      </c>
      <c r="F76">
        <f>C65</f>
        <v>120000</v>
      </c>
    </row>
    <row r="77" spans="1:8" x14ac:dyDescent="0.2">
      <c r="A77" t="s">
        <v>26</v>
      </c>
      <c r="B77">
        <f>B65</f>
        <v>128418</v>
      </c>
      <c r="C77">
        <f>D65</f>
        <v>298924988</v>
      </c>
      <c r="D77">
        <f>E65</f>
        <v>742568815830</v>
      </c>
      <c r="F77">
        <f>G65</f>
        <v>287842000</v>
      </c>
    </row>
    <row r="78" spans="1:8" x14ac:dyDescent="0.2">
      <c r="A78" t="s">
        <v>27</v>
      </c>
      <c r="B78">
        <f>D65</f>
        <v>298924988</v>
      </c>
      <c r="C78">
        <f>E65</f>
        <v>742568815830</v>
      </c>
      <c r="D78">
        <f>F65</f>
        <v>1932946013767772</v>
      </c>
      <c r="F78">
        <f>H65</f>
        <v>730361204000</v>
      </c>
    </row>
    <row r="80" spans="1:8" x14ac:dyDescent="0.2">
      <c r="A80" s="6" t="s">
        <v>28</v>
      </c>
    </row>
    <row r="81" spans="1:2" x14ac:dyDescent="0.2">
      <c r="A81" s="6" t="s">
        <v>29</v>
      </c>
      <c r="B81">
        <f>INDEX(MMULT(MINVERSE(B76:D78),F76:F78),1,1)</f>
        <v>-649.21443670103326</v>
      </c>
    </row>
    <row r="82" spans="1:2" x14ac:dyDescent="0.2">
      <c r="A82" s="6" t="s">
        <v>30</v>
      </c>
      <c r="B82">
        <f>INDEX(MMULT(MINVERSE(B76:D78),F76:F78),2,1)</f>
        <v>1.1775096992180352</v>
      </c>
    </row>
    <row r="83" spans="1:2" x14ac:dyDescent="0.2">
      <c r="A83" s="6" t="s">
        <v>31</v>
      </c>
      <c r="B83">
        <f>INDEX(MMULT(MINVERSE(B76:D78),F76:F78),3,1)</f>
        <v>2.5890862117738944E-5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3"/>
  <sheetViews>
    <sheetView workbookViewId="0">
      <pane ySplit="4" topLeftCell="A5" activePane="bottomLeft" state="frozen"/>
      <selection pane="bottomLeft" activeCell="D15" sqref="D15"/>
    </sheetView>
  </sheetViews>
  <sheetFormatPr defaultRowHeight="14.25" x14ac:dyDescent="0.2"/>
  <cols>
    <col min="1" max="1" width="14" customWidth="1"/>
    <col min="2" max="3" width="12" customWidth="1"/>
    <col min="4" max="5" width="14" customWidth="1"/>
    <col min="6" max="6" width="12" customWidth="1"/>
    <col min="7" max="7" width="14" customWidth="1"/>
    <col min="8" max="8" width="16" customWidth="1"/>
  </cols>
  <sheetData>
    <row r="1" spans="1:8" ht="16.5" x14ac:dyDescent="0.25">
      <c r="A1" s="5" t="s">
        <v>48</v>
      </c>
    </row>
    <row r="2" spans="1:8" x14ac:dyDescent="0.2">
      <c r="A2" s="6" t="s">
        <v>7</v>
      </c>
      <c r="B2">
        <v>0</v>
      </c>
    </row>
    <row r="4" spans="1:8" x14ac:dyDescent="0.2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r="5" spans="1:8" x14ac:dyDescent="0.2">
      <c r="A5" s="7" t="s">
        <v>16</v>
      </c>
      <c r="B5" s="7" t="str">
        <f t="shared" ref="B5:H5" ca="1" si="0">SUM(B4:B5)</f>
        <v/>
      </c>
      <c r="C5" s="7" t="str">
        <f t="shared" ca="1" si="0"/>
        <v/>
      </c>
      <c r="D5" s="7" t="str">
        <f t="shared" ca="1" si="0"/>
        <v/>
      </c>
      <c r="E5" s="7" t="str">
        <f t="shared" ca="1" si="0"/>
        <v/>
      </c>
      <c r="F5" s="7" t="str">
        <f t="shared" ca="1" si="0"/>
        <v/>
      </c>
      <c r="G5" s="7" t="str">
        <f t="shared" ca="1" si="0"/>
        <v/>
      </c>
      <c r="H5" s="7" t="str">
        <f t="shared" ca="1" si="0"/>
        <v/>
      </c>
    </row>
    <row r="8" spans="1:8" x14ac:dyDescent="0.2">
      <c r="A8" s="6" t="s">
        <v>17</v>
      </c>
    </row>
    <row r="9" spans="1:8" x14ac:dyDescent="0.2">
      <c r="A9" s="6" t="s">
        <v>18</v>
      </c>
      <c r="B9" t="str">
        <f ca="1">((B2*G5)-(B5*C5)) / ((B2*D5)-(B5^2))</f>
        <v/>
      </c>
    </row>
    <row r="10" spans="1:8" x14ac:dyDescent="0.2">
      <c r="A10" s="6" t="s">
        <v>19</v>
      </c>
      <c r="B10" t="str">
        <f ca="1">(C5-B9*B5)/B2</f>
        <v/>
      </c>
    </row>
    <row r="13" spans="1:8" x14ac:dyDescent="0.2">
      <c r="A13" s="6" t="s">
        <v>20</v>
      </c>
    </row>
    <row r="14" spans="1:8" x14ac:dyDescent="0.2">
      <c r="A14" s="6" t="s">
        <v>21</v>
      </c>
    </row>
    <row r="15" spans="1:8" x14ac:dyDescent="0.2">
      <c r="B15" s="8" t="s">
        <v>7</v>
      </c>
      <c r="C15" s="8" t="s">
        <v>22</v>
      </c>
      <c r="D15" s="8" t="s">
        <v>23</v>
      </c>
      <c r="F15" s="6" t="s">
        <v>24</v>
      </c>
    </row>
    <row r="16" spans="1:8" x14ac:dyDescent="0.2">
      <c r="A16" t="s">
        <v>25</v>
      </c>
      <c r="B16">
        <f>B2</f>
        <v>0</v>
      </c>
      <c r="C16" t="str">
        <f ca="1">B5</f>
        <v/>
      </c>
      <c r="D16" t="str">
        <f ca="1">D5</f>
        <v/>
      </c>
      <c r="F16" t="str">
        <f ca="1">C5</f>
        <v/>
      </c>
    </row>
    <row r="17" spans="1:6" x14ac:dyDescent="0.2">
      <c r="A17" t="s">
        <v>26</v>
      </c>
      <c r="B17" t="str">
        <f ca="1">B5</f>
        <v/>
      </c>
      <c r="C17" t="str">
        <f ca="1">D5</f>
        <v/>
      </c>
      <c r="D17" t="str">
        <f ca="1">E5</f>
        <v/>
      </c>
      <c r="F17" t="str">
        <f ca="1">G5</f>
        <v/>
      </c>
    </row>
    <row r="18" spans="1:6" x14ac:dyDescent="0.2">
      <c r="A18" t="s">
        <v>27</v>
      </c>
      <c r="B18" t="str">
        <f ca="1">D5</f>
        <v/>
      </c>
      <c r="C18" t="str">
        <f ca="1">E5</f>
        <v/>
      </c>
      <c r="D18" t="str">
        <f ca="1">F5</f>
        <v/>
      </c>
      <c r="F18" t="str">
        <f ca="1">H5</f>
        <v/>
      </c>
    </row>
    <row r="20" spans="1:6" x14ac:dyDescent="0.2">
      <c r="A20" s="6" t="s">
        <v>28</v>
      </c>
    </row>
    <row r="21" spans="1:6" x14ac:dyDescent="0.2">
      <c r="A21" s="6" t="s">
        <v>29</v>
      </c>
      <c r="B21" t="str">
        <f ca="1">INDEX(MMULT(MINVERSE(B16:D18),F16:F18),1,1)</f>
        <v/>
      </c>
    </row>
    <row r="22" spans="1:6" x14ac:dyDescent="0.2">
      <c r="A22" s="6" t="s">
        <v>30</v>
      </c>
      <c r="B22" t="str">
        <f ca="1">INDEX(MMULT(MINVERSE(B16:D18),F16:F18),2,1)</f>
        <v/>
      </c>
    </row>
    <row r="23" spans="1:6" x14ac:dyDescent="0.2">
      <c r="A23" s="6" t="s">
        <v>31</v>
      </c>
      <c r="B23" t="str">
        <f ca="1">INDEX(MMULT(MINVERSE(B16:D18),F16:F18),3,1)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workbookViewId="0"/>
  </sheetViews>
  <sheetFormatPr defaultRowHeight="14.25" x14ac:dyDescent="0.2"/>
  <cols>
    <col min="1" max="8" width="14" customWidth="1"/>
  </cols>
  <sheetData>
    <row r="1" spans="1:8" x14ac:dyDescent="0.2">
      <c r="A1" s="3" t="s">
        <v>49</v>
      </c>
      <c r="B1" s="3" t="s">
        <v>50</v>
      </c>
      <c r="C1" s="3" t="s">
        <v>7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</row>
    <row r="2" spans="1:8" x14ac:dyDescent="0.2">
      <c r="A2" s="4" t="s">
        <v>56</v>
      </c>
      <c r="B2" s="4">
        <v>0</v>
      </c>
      <c r="C2" s="4">
        <v>40</v>
      </c>
      <c r="D2" s="4">
        <v>-8.4440024479804077</v>
      </c>
      <c r="E2" s="4">
        <v>0.5966952264381884</v>
      </c>
      <c r="F2" s="4">
        <v>-35.528339883992793</v>
      </c>
      <c r="G2" s="4">
        <v>2.1552865719254108</v>
      </c>
      <c r="H2" s="4">
        <v>-2.212698264956902E-2</v>
      </c>
    </row>
    <row r="3" spans="1:8" x14ac:dyDescent="0.2">
      <c r="A3" s="4" t="s">
        <v>56</v>
      </c>
      <c r="B3" s="4">
        <v>1</v>
      </c>
      <c r="C3" s="4">
        <v>120</v>
      </c>
      <c r="D3" s="4">
        <v>-17.328057939060638</v>
      </c>
      <c r="E3" s="4">
        <v>0.69821602764296242</v>
      </c>
      <c r="F3" s="4">
        <v>3.097516135578708</v>
      </c>
      <c r="G3" s="4">
        <v>0.1209401369494449</v>
      </c>
      <c r="H3" s="4">
        <v>3.9297035734574947E-3</v>
      </c>
    </row>
    <row r="4" spans="1:8" x14ac:dyDescent="0.2">
      <c r="A4" s="4" t="s">
        <v>56</v>
      </c>
      <c r="B4" s="4">
        <v>2</v>
      </c>
      <c r="C4" s="4">
        <v>80</v>
      </c>
      <c r="D4" s="4">
        <v>-41.4651053807059</v>
      </c>
      <c r="E4" s="4">
        <v>0.959160504358051</v>
      </c>
      <c r="F4" s="4">
        <v>-25.341996416211831</v>
      </c>
      <c r="G4" s="4">
        <v>0.7935316064236374</v>
      </c>
      <c r="H4" s="4">
        <v>3.5434943517680708E-4</v>
      </c>
    </row>
    <row r="5" spans="1:8" x14ac:dyDescent="0.2">
      <c r="A5" s="4" t="s">
        <v>56</v>
      </c>
      <c r="B5" s="4">
        <v>3</v>
      </c>
      <c r="C5" s="4">
        <v>40</v>
      </c>
      <c r="D5" s="4">
        <v>-9.8636707079093426</v>
      </c>
      <c r="E5" s="4">
        <v>0.92829052963645386</v>
      </c>
      <c r="F5" s="4">
        <v>-1713.6392732423669</v>
      </c>
      <c r="G5" s="4">
        <v>6.2529896213872993</v>
      </c>
      <c r="H5" s="4">
        <v>-4.0489818915611948E-3</v>
      </c>
    </row>
    <row r="6" spans="1:8" x14ac:dyDescent="0.2">
      <c r="A6" s="4" t="s">
        <v>56</v>
      </c>
      <c r="B6" s="4">
        <v>4</v>
      </c>
      <c r="C6" s="4">
        <v>60</v>
      </c>
      <c r="D6" s="4">
        <v>-222.59071190360149</v>
      </c>
      <c r="E6" s="4">
        <v>1.076949637108354</v>
      </c>
      <c r="F6" s="4">
        <v>623.12179747072173</v>
      </c>
      <c r="G6" s="4">
        <v>7.0081991540621502E-2</v>
      </c>
      <c r="H6" s="4">
        <v>2.5533676092976863E-4</v>
      </c>
    </row>
    <row r="7" spans="1:8" x14ac:dyDescent="0.2">
      <c r="A7" s="4" t="s">
        <v>56</v>
      </c>
      <c r="B7" s="4">
        <v>5</v>
      </c>
      <c r="C7" s="4">
        <v>0</v>
      </c>
      <c r="D7" s="4"/>
      <c r="E7" s="4"/>
      <c r="F7" s="4"/>
      <c r="G7" s="4"/>
      <c r="H7" s="4"/>
    </row>
    <row r="8" spans="1:8" x14ac:dyDescent="0.2">
      <c r="A8" s="4" t="s">
        <v>57</v>
      </c>
      <c r="B8" s="4">
        <v>0</v>
      </c>
      <c r="C8" s="4">
        <v>50</v>
      </c>
      <c r="D8" s="4">
        <v>-19.539761431411542</v>
      </c>
      <c r="E8" s="4">
        <v>0.81013916500994065</v>
      </c>
      <c r="F8" s="4">
        <v>-10.404021244198621</v>
      </c>
      <c r="G8" s="4">
        <v>0.37161055250687919</v>
      </c>
      <c r="H8" s="4">
        <v>5.2012273772914256E-3</v>
      </c>
    </row>
    <row r="9" spans="1:8" x14ac:dyDescent="0.2">
      <c r="A9" s="4" t="s">
        <v>57</v>
      </c>
      <c r="B9" s="4">
        <v>1</v>
      </c>
      <c r="C9" s="4">
        <v>98</v>
      </c>
      <c r="D9" s="4">
        <v>-9.3813453051889262</v>
      </c>
      <c r="E9" s="4">
        <v>0.5967509546441423</v>
      </c>
      <c r="F9" s="4">
        <v>-8.1172605566165288</v>
      </c>
      <c r="G9" s="4">
        <v>0.56081365349485002</v>
      </c>
      <c r="H9" s="4">
        <v>2.4628990124913621E-4</v>
      </c>
    </row>
    <row r="10" spans="1:8" x14ac:dyDescent="0.2">
      <c r="A10" s="4" t="s">
        <v>57</v>
      </c>
      <c r="B10" s="4">
        <v>2</v>
      </c>
      <c r="C10" s="4">
        <v>92</v>
      </c>
      <c r="D10" s="4">
        <v>-22.955749251035769</v>
      </c>
      <c r="E10" s="4">
        <v>0.86590685930538458</v>
      </c>
      <c r="F10" s="4">
        <v>-78.984475425249101</v>
      </c>
      <c r="G10" s="4">
        <v>1.4604992061271851</v>
      </c>
      <c r="H10" s="4">
        <v>-1.227830807574717E-3</v>
      </c>
    </row>
    <row r="11" spans="1:8" x14ac:dyDescent="0.2">
      <c r="A11" s="4" t="s">
        <v>57</v>
      </c>
      <c r="B11" s="4">
        <v>3</v>
      </c>
      <c r="C11" s="4">
        <v>40</v>
      </c>
      <c r="D11" s="4">
        <v>-18.45152551574817</v>
      </c>
      <c r="E11" s="4">
        <v>0.84745507247541796</v>
      </c>
      <c r="F11" s="4">
        <v>1594.617825705029</v>
      </c>
      <c r="G11" s="4">
        <v>-3.821157545723425</v>
      </c>
      <c r="H11" s="4">
        <v>3.318121619088516E-3</v>
      </c>
    </row>
    <row r="12" spans="1:8" x14ac:dyDescent="0.2">
      <c r="A12" s="4" t="s">
        <v>57</v>
      </c>
      <c r="B12" s="4">
        <v>4</v>
      </c>
      <c r="C12" s="4">
        <v>60</v>
      </c>
      <c r="D12" s="4">
        <v>-1050.4039364070611</v>
      </c>
      <c r="E12" s="4">
        <v>1.445004233257726</v>
      </c>
      <c r="F12" s="4">
        <v>-1528.16293837078</v>
      </c>
      <c r="G12" s="4">
        <v>1.927636472981709</v>
      </c>
      <c r="H12" s="4">
        <v>-1.13309369010741E-4</v>
      </c>
    </row>
    <row r="13" spans="1:8" x14ac:dyDescent="0.2">
      <c r="A13" s="4" t="s">
        <v>57</v>
      </c>
      <c r="B13" s="4">
        <v>5</v>
      </c>
      <c r="C13" s="4">
        <v>0</v>
      </c>
      <c r="D13" s="4"/>
      <c r="E13" s="4"/>
      <c r="F13" s="4"/>
      <c r="G13" s="4"/>
      <c r="H13" s="4"/>
    </row>
    <row r="14" spans="1:8" x14ac:dyDescent="0.2">
      <c r="A14" s="4" t="s">
        <v>58</v>
      </c>
      <c r="B14" s="4">
        <v>0</v>
      </c>
      <c r="C14" s="4">
        <v>48</v>
      </c>
      <c r="D14" s="4">
        <v>-9.9256430868167236</v>
      </c>
      <c r="E14" s="4">
        <v>0.59686495176848875</v>
      </c>
      <c r="F14" s="4">
        <v>20.320617555682869</v>
      </c>
      <c r="G14" s="4">
        <v>-0.95686221244450509</v>
      </c>
      <c r="H14" s="4">
        <v>1.9517983128907009E-2</v>
      </c>
    </row>
    <row r="15" spans="1:8" x14ac:dyDescent="0.2">
      <c r="A15" s="4" t="s">
        <v>58</v>
      </c>
      <c r="B15" s="4">
        <v>1</v>
      </c>
      <c r="C15" s="4">
        <v>108</v>
      </c>
      <c r="D15" s="4">
        <v>-14.59881711768451</v>
      </c>
      <c r="E15" s="4">
        <v>0.66488302940478294</v>
      </c>
      <c r="F15" s="4">
        <v>-15.613270343401121</v>
      </c>
      <c r="G15" s="4">
        <v>0.69276803478993387</v>
      </c>
      <c r="H15" s="4">
        <v>-1.8518516663648991E-4</v>
      </c>
    </row>
    <row r="16" spans="1:8" x14ac:dyDescent="0.2">
      <c r="A16" s="4" t="s">
        <v>58</v>
      </c>
      <c r="B16" s="4">
        <v>2</v>
      </c>
      <c r="C16" s="4">
        <v>84</v>
      </c>
      <c r="D16" s="4">
        <v>-40.430076302033733</v>
      </c>
      <c r="E16" s="4">
        <v>0.95301819049965453</v>
      </c>
      <c r="F16" s="4">
        <v>27.474012020638039</v>
      </c>
      <c r="G16" s="4">
        <v>0.21175680337154601</v>
      </c>
      <c r="H16" s="4">
        <v>1.6504090955469181E-3</v>
      </c>
    </row>
    <row r="17" spans="1:8" x14ac:dyDescent="0.2">
      <c r="A17" s="4" t="s">
        <v>58</v>
      </c>
      <c r="B17" s="4">
        <v>3</v>
      </c>
      <c r="C17" s="4">
        <v>40</v>
      </c>
      <c r="D17" s="4">
        <v>239.12186245783741</v>
      </c>
      <c r="E17" s="4">
        <v>0.56795426116172898</v>
      </c>
      <c r="F17" s="4">
        <v>1110.883535457883</v>
      </c>
      <c r="G17" s="4">
        <v>-2.0758130990536192</v>
      </c>
      <c r="H17" s="4">
        <v>1.939293782087496E-3</v>
      </c>
    </row>
    <row r="18" spans="1:8" x14ac:dyDescent="0.2">
      <c r="A18" s="4" t="s">
        <v>58</v>
      </c>
      <c r="B18" s="4">
        <v>4</v>
      </c>
      <c r="C18" s="4">
        <v>60</v>
      </c>
      <c r="D18" s="4">
        <v>-756.82535899699451</v>
      </c>
      <c r="E18" s="4">
        <v>1.28805558052469</v>
      </c>
      <c r="F18" s="4">
        <v>-649.2144367011864</v>
      </c>
      <c r="G18" s="4">
        <v>1.1775096992169469</v>
      </c>
      <c r="H18" s="4">
        <v>2.58908621179312E-5</v>
      </c>
    </row>
    <row r="19" spans="1:8" x14ac:dyDescent="0.2">
      <c r="A19" s="4" t="s">
        <v>58</v>
      </c>
      <c r="B19" s="4">
        <v>5</v>
      </c>
      <c r="C19" s="4">
        <v>0</v>
      </c>
      <c r="D19" s="4"/>
      <c r="E19" s="4"/>
      <c r="F19" s="4"/>
      <c r="G19" s="4"/>
      <c r="H1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data_preprocessed</vt:lpstr>
      <vt:lpstr>A1_R0</vt:lpstr>
      <vt:lpstr>A1_R1</vt:lpstr>
      <vt:lpstr>A1_R2</vt:lpstr>
      <vt:lpstr>A1_R3</vt:lpstr>
      <vt:lpstr>A1_R4</vt:lpstr>
      <vt:lpstr>A1_R5</vt:lpstr>
      <vt:lpstr>A2_R0</vt:lpstr>
      <vt:lpstr>A2_R1</vt:lpstr>
      <vt:lpstr>A2_R2</vt:lpstr>
      <vt:lpstr>A2_R3</vt:lpstr>
      <vt:lpstr>A2_R4</vt:lpstr>
      <vt:lpstr>A2_R5</vt:lpstr>
      <vt:lpstr>A3_R0</vt:lpstr>
      <vt:lpstr>A3_R1</vt:lpstr>
      <vt:lpstr>A3_R2</vt:lpstr>
      <vt:lpstr>A3_R3</vt:lpstr>
      <vt:lpstr>A3_R4</vt:lpstr>
      <vt:lpstr>A3_R5</vt:lpstr>
      <vt:lpstr>coefficients_new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YOTSAKORN SRIPANLOM</cp:lastModifiedBy>
  <dcterms:created xsi:type="dcterms:W3CDTF">2026-01-15T22:42:07Z</dcterms:created>
  <dcterms:modified xsi:type="dcterms:W3CDTF">2026-01-16T03:22:00Z</dcterms:modified>
</cp:coreProperties>
</file>